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jherio/Documents/Tarauacá/Delfos/Projeto/"/>
    </mc:Choice>
  </mc:AlternateContent>
  <xr:revisionPtr revIDLastSave="0" documentId="13_ncr:1_{54F535F4-BFE0-2441-8A94-BD7A1AE448A5}" xr6:coauthVersionLast="47" xr6:coauthVersionMax="47" xr10:uidLastSave="{00000000-0000-0000-0000-000000000000}"/>
  <bookViews>
    <workbookView xWindow="28800" yWindow="500" windowWidth="28800" windowHeight="35500" xr2:uid="{A0AA5797-4109-2C4B-8796-7C24CDABBE8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1" l="1"/>
  <c r="G30" i="1"/>
  <c r="H30" i="1" s="1"/>
  <c r="H94" i="1"/>
  <c r="H90" i="1"/>
  <c r="H89" i="1"/>
  <c r="H77" i="1"/>
  <c r="H67" i="1"/>
  <c r="H53" i="1"/>
  <c r="H31" i="1"/>
  <c r="G48" i="1"/>
  <c r="H48" i="1" s="1"/>
  <c r="G95" i="1"/>
  <c r="H95" i="1" s="1"/>
  <c r="G93" i="1"/>
  <c r="H93" i="1" s="1"/>
  <c r="G92" i="1"/>
  <c r="H92" i="1" s="1"/>
  <c r="G91" i="1"/>
  <c r="H91" i="1" s="1"/>
  <c r="G90" i="1"/>
  <c r="G89" i="1"/>
  <c r="G88" i="1"/>
  <c r="H88" i="1" s="1"/>
  <c r="G87" i="1"/>
  <c r="H87" i="1" s="1"/>
  <c r="G86" i="1"/>
  <c r="H86" i="1" s="1"/>
  <c r="G85" i="1"/>
  <c r="H85" i="1" s="1"/>
  <c r="G83" i="1"/>
  <c r="H83" i="1" s="1"/>
  <c r="G82" i="1"/>
  <c r="H82" i="1" s="1"/>
  <c r="G81" i="1"/>
  <c r="H81" i="1" s="1"/>
  <c r="G80" i="1"/>
  <c r="H80" i="1" s="1"/>
  <c r="G79" i="1"/>
  <c r="H79" i="1" s="1"/>
  <c r="G77" i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4" i="1"/>
  <c r="H54" i="1" s="1"/>
  <c r="G52" i="1"/>
  <c r="H52" i="1" s="1"/>
  <c r="G50" i="1"/>
  <c r="H50" i="1" s="1"/>
  <c r="G36" i="1"/>
  <c r="H36" i="1" s="1"/>
  <c r="G35" i="1"/>
  <c r="H35" i="1" s="1"/>
  <c r="G34" i="1"/>
  <c r="H34" i="1" s="1"/>
  <c r="G33" i="1"/>
  <c r="H33" i="1" s="1"/>
  <c r="G96" i="1"/>
  <c r="H96" i="1" s="1"/>
  <c r="G94" i="1"/>
  <c r="G84" i="1"/>
  <c r="H84" i="1" s="1"/>
  <c r="G78" i="1"/>
  <c r="H78" i="1" s="1"/>
  <c r="G67" i="1"/>
  <c r="G55" i="1"/>
  <c r="H55" i="1" s="1"/>
  <c r="G53" i="1"/>
  <c r="G51" i="1"/>
  <c r="H51" i="1" s="1"/>
  <c r="G49" i="1"/>
  <c r="H49" i="1" s="1"/>
  <c r="G47" i="1"/>
  <c r="H47" i="1" s="1"/>
  <c r="G46" i="1"/>
  <c r="H46" i="1" s="1"/>
  <c r="G45" i="1"/>
  <c r="H45" i="1" s="1"/>
  <c r="G44" i="1"/>
  <c r="H44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2" i="1"/>
  <c r="H32" i="1" s="1"/>
  <c r="G31" i="1"/>
  <c r="G102" i="1"/>
  <c r="H102" i="1" s="1"/>
  <c r="G101" i="1"/>
  <c r="H101" i="1" s="1"/>
  <c r="G100" i="1"/>
  <c r="H100" i="1" s="1"/>
  <c r="G99" i="1"/>
  <c r="H99" i="1" s="1"/>
  <c r="G98" i="1"/>
  <c r="H98" i="1" s="1"/>
  <c r="G28" i="1"/>
  <c r="H28" i="1" s="1"/>
  <c r="G27" i="1"/>
  <c r="H27" i="1" s="1"/>
  <c r="G26" i="1"/>
  <c r="H26" i="1" s="1"/>
  <c r="G25" i="1"/>
  <c r="H25" i="1" s="1"/>
  <c r="G24" i="1"/>
  <c r="H24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3" i="1"/>
  <c r="H13" i="1" s="1"/>
  <c r="G12" i="1"/>
  <c r="H12" i="1" s="1"/>
  <c r="G11" i="1"/>
  <c r="H11" i="1" s="1"/>
  <c r="H104" i="1" l="1"/>
</calcChain>
</file>

<file path=xl/sharedStrings.xml><?xml version="1.0" encoding="utf-8"?>
<sst xmlns="http://schemas.openxmlformats.org/spreadsheetml/2006/main" count="205" uniqueCount="110">
  <si>
    <t>#</t>
  </si>
  <si>
    <t>Atividades</t>
  </si>
  <si>
    <t>Função</t>
  </si>
  <si>
    <t>Qtd (H)</t>
  </si>
  <si>
    <t>Pç/H (R$)</t>
  </si>
  <si>
    <t>Pç/Qtd (R$)</t>
  </si>
  <si>
    <t>-</t>
  </si>
  <si>
    <t>Análise do Sistema</t>
  </si>
  <si>
    <t>Definição de Escopo</t>
  </si>
  <si>
    <t>Definição de Requisitos</t>
  </si>
  <si>
    <t>Definição de Regras de Negócio</t>
  </si>
  <si>
    <t>Projeto do Sistema</t>
  </si>
  <si>
    <t>UML - Diagramas (Casu Uso, Clase, Atividade, Sequência)</t>
  </si>
  <si>
    <t>DB - Modelagem Entidades-Relacionamentos</t>
  </si>
  <si>
    <t>Definição de Tecnologías</t>
  </si>
  <si>
    <t>Definição de infraestruturas de Produção/Servidor</t>
  </si>
  <si>
    <t>Definição de Layout do Sistema</t>
  </si>
  <si>
    <t>Definição de infraestruturas de Versionamento</t>
  </si>
  <si>
    <t>Definição de infraestruturas de Desenvolvimento</t>
  </si>
  <si>
    <t>Implementação</t>
  </si>
  <si>
    <t>Bases pré-desenvolvimento do Sistema</t>
  </si>
  <si>
    <t>Instalação e Configuração de Tecnologías a serem utilizadas</t>
  </si>
  <si>
    <t>Instalácão e Configuração de Infraestrutura FTP</t>
  </si>
  <si>
    <t>Aquisição, Instalação e Configuração de Infraestruturas de Versionamento</t>
  </si>
  <si>
    <t>Instalação e Configuração de Infraestruturas de Desenvolvimento</t>
  </si>
  <si>
    <t>Aquisição, Instalação e Configuração de Infraestruturas de Produção/Servidor WEB</t>
  </si>
  <si>
    <t>Bases pré-codificação do Sistema</t>
  </si>
  <si>
    <t>Aquisição de Template</t>
  </si>
  <si>
    <t>Corte de Template</t>
  </si>
  <si>
    <t>Ajuste Front-End de Template baseado no Layout escolhido para o Sistema</t>
  </si>
  <si>
    <t>Estruturação de diretórios e módulos com base em definições de segurança do Sistema</t>
  </si>
  <si>
    <t>Configuração de Segurança de carregamento de códigos</t>
  </si>
  <si>
    <t>Configuração de plugins a serem utilizados no Sistema</t>
  </si>
  <si>
    <t>Configuração de URL-amigável http/https</t>
  </si>
  <si>
    <t>Codificação de Mensagens baseado no Layout escolhido para o Sistema</t>
  </si>
  <si>
    <t>Codificação de radios/checkbox/input/select no Layout escolhido para o Sistema</t>
  </si>
  <si>
    <t>Codificação de campos/erros no Layout escolhido para o Sistema</t>
  </si>
  <si>
    <t>Codificação de Layout/Cores/Tamanhos Dinámicos no Layout escolhido para o Sistema</t>
  </si>
  <si>
    <t>Testes e Correções de Codificações pré-codificação do Sistema</t>
  </si>
  <si>
    <t>Codificação do Sistema</t>
  </si>
  <si>
    <t>Codificação de datatable no Layout escolhido para o Sistema</t>
  </si>
  <si>
    <t>Codificação do Banco de Dados (283 Tabelas com total de 2197 Campos)</t>
  </si>
  <si>
    <t>Codificação de Auditoria Banco de Dados (283 Tabelas com total de 2763 Campos)</t>
  </si>
  <si>
    <t>Validação do Sistema</t>
  </si>
  <si>
    <t>Modificações com base na Validação</t>
  </si>
  <si>
    <t>Teste Finais</t>
  </si>
  <si>
    <t>Implantação e Treinamento</t>
  </si>
  <si>
    <t>Codificação do Banco de Dados no Servidor de Produção</t>
  </si>
  <si>
    <t>Transferencia de Código fonte para o Servidor de Produção</t>
  </si>
  <si>
    <t>Implantação e Testes Gerais no Servidor de Produção</t>
  </si>
  <si>
    <t>Treinamento</t>
  </si>
  <si>
    <t>Entrega Oficial do Sistema</t>
  </si>
  <si>
    <t>Engenheiro de Software</t>
  </si>
  <si>
    <t>ES</t>
  </si>
  <si>
    <t>FED</t>
  </si>
  <si>
    <t>BED</t>
  </si>
  <si>
    <t>DBA</t>
  </si>
  <si>
    <t>Administrador de Banco de Dados</t>
  </si>
  <si>
    <t>Desenvolvedor Front-End</t>
  </si>
  <si>
    <t>Desenvolvedor Back-End</t>
  </si>
  <si>
    <t>Cod.</t>
  </si>
  <si>
    <t>Codificação de CRUDs Base Geral (25 páginas)</t>
  </si>
  <si>
    <t>Codificação de CRUDs Módulo Governo Base (4 páginas)</t>
  </si>
  <si>
    <t>Codificação de CRUDs Módulo SEE Base (9 páginas)</t>
  </si>
  <si>
    <t>Codificação de CRUDs Módulo Governo Operações (4 páginas)</t>
  </si>
  <si>
    <t>Codificação de CRUDs Módulo SEE Operações (4 páginas)</t>
  </si>
  <si>
    <t>Codificação de CRUDs Módulo Prefeitura Base (12 páginas)</t>
  </si>
  <si>
    <t>Codificação de CRUDs Módulo Prefeitura Operações (16 páginas)</t>
  </si>
  <si>
    <t>Codificação de CRUDs Módulo SEME Base (16 páginas)</t>
  </si>
  <si>
    <t>Codificação de CRUDs Módulo SEME Operações (8 páginas)</t>
  </si>
  <si>
    <t>Codificação de CRUDs Módulo Unidade Educativa Base (21 páginas)</t>
  </si>
  <si>
    <t>Codificação de CRUDs Módulo Unidade Educativa Conexões WEB- (INEP...) (4 páginas)</t>
  </si>
  <si>
    <t>Codificação de CRUDs Módulo Unidade Educativa Operações Administração (15 páginas)</t>
  </si>
  <si>
    <t>Codificação de CRUDs Módulo Unidade Educativa Operações Apoio administrativo (10 páginas)</t>
  </si>
  <si>
    <t>Codificação de CRUDs Módulo Unidade Educativa Operações Diretoria (9 páginas)</t>
  </si>
  <si>
    <t>Codificação de CRUDs Módulo Unidade Educativa Operações Secretaria (14 páginas)</t>
  </si>
  <si>
    <t>Codificação de CRUDs Módulo Unidade Educativa Operações Lotação (28 páginas)</t>
  </si>
  <si>
    <t>Codificação de CRUDs Módulo Unidade Educativa Operações Eleição (5 páginas)</t>
  </si>
  <si>
    <t>Codificação de CRUDs Módulo Unidade Educativa Operações Conselhos/Comitês... (5 páginas)</t>
  </si>
  <si>
    <t>Codificação de CRUDs Módulo Unidade Educativa Operações Corpo Docente (12 páginas)</t>
  </si>
  <si>
    <t>Codificação de CRUDs Módulo Unidade Educativa Operações Aulas (28 páginas)</t>
  </si>
  <si>
    <t>Codificação de CRUDs Módulo Unidade Educativa Operações Alunos (20 páginas)</t>
  </si>
  <si>
    <t>Codificação de CRUDs Módulo Alimento Escolar Base (18 páginas)</t>
  </si>
  <si>
    <t>Codificação de CRUDs Módulo Alimento Escolar Operações Nutricional (4 páginas)</t>
  </si>
  <si>
    <t>Codificação de CRUDs Módulo Alimento Escolar Operações Produtos (3 páginas)</t>
  </si>
  <si>
    <t>Codificação de CRUDs Módulo Alimento Escolar Operações Receitas (5 páginas)</t>
  </si>
  <si>
    <t>Codificação de CRUDs Módulo Alimento Escolar Operações Produção (7 páginas)</t>
  </si>
  <si>
    <t>Codificação de CRUDs Módulo Alimento Escolar Operações Fornecedores (3 páginas)</t>
  </si>
  <si>
    <t>Codificação de CRUDs Módulo Alimento Escolar Operações Aquisição (3 páginas)</t>
  </si>
  <si>
    <t>Codificação de CRUDs Módulo Alimento Escolar Operações Saídas (3 páginas)</t>
  </si>
  <si>
    <t>Codificação de CRUDs Módulo Alimento Escolar Operações Estoque (3 páginas)</t>
  </si>
  <si>
    <t>Codificação de CRUDs Módulo Alimento Escolar Operações Balanço (3 páginas)</t>
  </si>
  <si>
    <t>Codificação de CRUDs Módulo Almoxarifado Base (8 páginas)</t>
  </si>
  <si>
    <t>Codificação de CRUDs Módulo Almoxarifado Operações Aquisição (4 páginas)</t>
  </si>
  <si>
    <t>Codificação de CRUDs Módulo Almoxarifado Operações Produtos (6 páginas)</t>
  </si>
  <si>
    <t>Codificação de CRUDs Módulo Almoxarifado Operações Movimentação (6 páginas)</t>
  </si>
  <si>
    <t>Codificação de CRUDs Módulo Almoxarifado Operações Saídas (5 páginas)</t>
  </si>
  <si>
    <t>Codificação de CRUDs Módulo Almoxarifado Operações Balanço (3 páginas)</t>
  </si>
  <si>
    <t>Codificação de CRUDs Módulo Logistica Base (6 páginas)</t>
  </si>
  <si>
    <t>Codificação de CRUDs Módulo Logistica Operações Geografia (4 páginas)</t>
  </si>
  <si>
    <t>Codificação de CRUDs Módulo Logistica Operações Rotas (3 páginas)</t>
  </si>
  <si>
    <t>Codificação de CRUDs Módulo Logistica Operações Produtos (3 páginas)</t>
  </si>
  <si>
    <t>Codificação de CRUDs Módulo Logistica Operações Aquisição (3 páginas)</t>
  </si>
  <si>
    <t>Codificação de CRUDs Módulo Logistica Operações Movimentação (2 páginas)</t>
  </si>
  <si>
    <t>Codificação de CRUDs Módulo Logistica Operações Saídas (2 páginas)</t>
  </si>
  <si>
    <t>Codificação de CRUDs Módulo Dashboards/Indicadores/índices/... (22 páginas)</t>
  </si>
  <si>
    <t>Codificação de CRUDs Módulo Painel Geral (8 páginas)</t>
  </si>
  <si>
    <t>Codificação de CRUDs Módulo Segurança Geral (18 páginas)</t>
  </si>
  <si>
    <t>TOTAL</t>
  </si>
  <si>
    <t>DETALHAMENTO DE CUSTOS DE DESENVOLVIMENTO DO SISTEMA DELFOS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</si>
</sst>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5A9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3" fillId="0" borderId="3" xfId="0" applyFont="1" applyBorder="1"/>
    <xf numFmtId="0" fontId="3" fillId="0" borderId="0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/>
    <xf numFmtId="164" fontId="3" fillId="0" borderId="1" xfId="0" applyNumberFormat="1" applyFont="1" applyBorder="1"/>
    <xf numFmtId="0" fontId="3" fillId="3" borderId="1" xfId="0" applyFont="1" applyFill="1" applyBorder="1"/>
    <xf numFmtId="164" fontId="4" fillId="0" borderId="1" xfId="0" applyNumberFormat="1" applyFont="1" applyBorder="1"/>
    <xf numFmtId="0" fontId="3" fillId="4" borderId="1" xfId="0" applyFont="1" applyFill="1" applyBorder="1"/>
    <xf numFmtId="0" fontId="3" fillId="2" borderId="1" xfId="0" applyFont="1" applyFill="1" applyBorder="1"/>
    <xf numFmtId="0" fontId="3" fillId="2" borderId="7" xfId="0" applyFont="1" applyFill="1" applyBorder="1"/>
    <xf numFmtId="0" fontId="3" fillId="0" borderId="8" xfId="0" applyFont="1" applyBorder="1"/>
    <xf numFmtId="164" fontId="3" fillId="0" borderId="9" xfId="0" applyNumberFormat="1" applyFont="1" applyBorder="1"/>
    <xf numFmtId="0" fontId="3" fillId="0" borderId="10" xfId="0" applyFont="1" applyBorder="1"/>
    <xf numFmtId="0" fontId="3" fillId="5" borderId="11" xfId="0" applyFont="1" applyFill="1" applyBorder="1"/>
    <xf numFmtId="164" fontId="3" fillId="0" borderId="12" xfId="0" applyNumberFormat="1" applyFont="1" applyBorder="1"/>
    <xf numFmtId="0" fontId="3" fillId="0" borderId="13" xfId="0" applyFont="1" applyBorder="1"/>
    <xf numFmtId="164" fontId="3" fillId="0" borderId="14" xfId="0" applyNumberFormat="1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/>
    <xf numFmtId="164" fontId="3" fillId="0" borderId="11" xfId="0" applyNumberFormat="1" applyFont="1" applyBorder="1"/>
    <xf numFmtId="0" fontId="5" fillId="0" borderId="22" xfId="0" applyFont="1" applyBorder="1"/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3" fillId="0" borderId="24" xfId="0" applyFont="1" applyBorder="1"/>
    <xf numFmtId="0" fontId="3" fillId="0" borderId="7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4" fontId="5" fillId="0" borderId="23" xfId="1" applyFont="1" applyBorder="1"/>
    <xf numFmtId="0" fontId="2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995A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F408-DDBD-EB44-9C61-D6944730CAA1}">
  <sheetPr>
    <pageSetUpPr fitToPage="1"/>
  </sheetPr>
  <dimension ref="A1:I105"/>
  <sheetViews>
    <sheetView tabSelected="1" zoomScale="150" zoomScaleNormal="150" workbookViewId="0">
      <selection activeCell="H14" sqref="H14"/>
    </sheetView>
  </sheetViews>
  <sheetFormatPr baseColWidth="10" defaultRowHeight="14" x14ac:dyDescent="0.2"/>
  <cols>
    <col min="1" max="1" width="3.1640625" style="1" bestFit="1" customWidth="1"/>
    <col min="2" max="3" width="5.6640625" style="1" customWidth="1"/>
    <col min="4" max="4" width="67.1640625" style="1" bestFit="1" customWidth="1"/>
    <col min="5" max="5" width="6" style="1" bestFit="1" customWidth="1"/>
    <col min="6" max="7" width="8" style="1" bestFit="1" customWidth="1"/>
    <col min="8" max="8" width="12" style="1" bestFit="1" customWidth="1"/>
    <col min="9" max="9" width="7.5" style="1" bestFit="1" customWidth="1"/>
    <col min="10" max="16384" width="10.83203125" style="1"/>
  </cols>
  <sheetData>
    <row r="1" spans="1:9" ht="16" x14ac:dyDescent="0.2">
      <c r="A1" s="42" t="s">
        <v>109</v>
      </c>
      <c r="B1" s="42"/>
      <c r="C1" s="42"/>
      <c r="D1" s="42"/>
      <c r="E1" s="42"/>
      <c r="F1" s="42"/>
      <c r="G1" s="42"/>
      <c r="H1" s="42"/>
    </row>
    <row r="2" spans="1:9" ht="15" thickBot="1" x14ac:dyDescent="0.25">
      <c r="D2" s="3"/>
      <c r="E2" s="3"/>
      <c r="F2" s="3"/>
    </row>
    <row r="3" spans="1:9" ht="16" thickTop="1" thickBot="1" x14ac:dyDescent="0.25">
      <c r="D3" s="25" t="s">
        <v>2</v>
      </c>
      <c r="E3" s="26" t="s">
        <v>60</v>
      </c>
      <c r="F3" s="27" t="s">
        <v>4</v>
      </c>
    </row>
    <row r="4" spans="1:9" ht="16" thickTop="1" thickBot="1" x14ac:dyDescent="0.25">
      <c r="D4" s="23" t="s">
        <v>57</v>
      </c>
      <c r="E4" s="17" t="s">
        <v>56</v>
      </c>
      <c r="F4" s="24">
        <v>35</v>
      </c>
    </row>
    <row r="5" spans="1:9" ht="15" thickBot="1" x14ac:dyDescent="0.25">
      <c r="D5" s="18" t="s">
        <v>58</v>
      </c>
      <c r="E5" s="13" t="s">
        <v>54</v>
      </c>
      <c r="F5" s="19">
        <v>35</v>
      </c>
    </row>
    <row r="6" spans="1:9" ht="15" thickBot="1" x14ac:dyDescent="0.25">
      <c r="D6" s="18" t="s">
        <v>59</v>
      </c>
      <c r="E6" s="15" t="s">
        <v>55</v>
      </c>
      <c r="F6" s="19">
        <v>45</v>
      </c>
    </row>
    <row r="7" spans="1:9" ht="15" thickBot="1" x14ac:dyDescent="0.25">
      <c r="D7" s="20" t="s">
        <v>52</v>
      </c>
      <c r="E7" s="21" t="s">
        <v>53</v>
      </c>
      <c r="F7" s="22">
        <v>45</v>
      </c>
    </row>
    <row r="8" spans="1:9" ht="16" thickTop="1" thickBot="1" x14ac:dyDescent="0.25"/>
    <row r="9" spans="1:9" ht="16" thickTop="1" thickBot="1" x14ac:dyDescent="0.25">
      <c r="A9" s="25" t="s">
        <v>0</v>
      </c>
      <c r="B9" s="40" t="s">
        <v>1</v>
      </c>
      <c r="C9" s="40"/>
      <c r="D9" s="40"/>
      <c r="E9" s="26" t="s">
        <v>2</v>
      </c>
      <c r="F9" s="26" t="s">
        <v>3</v>
      </c>
      <c r="G9" s="26" t="s">
        <v>4</v>
      </c>
      <c r="H9" s="27" t="s">
        <v>5</v>
      </c>
      <c r="I9" s="3"/>
    </row>
    <row r="10" spans="1:9" ht="16" thickTop="1" thickBot="1" x14ac:dyDescent="0.25">
      <c r="A10" s="23" t="s">
        <v>6</v>
      </c>
      <c r="B10" s="38" t="s">
        <v>7</v>
      </c>
      <c r="C10" s="38"/>
      <c r="D10" s="39"/>
      <c r="E10" s="2"/>
      <c r="F10" s="2"/>
      <c r="G10" s="2"/>
      <c r="H10" s="37"/>
      <c r="I10" s="3"/>
    </row>
    <row r="11" spans="1:9" ht="15" thickBot="1" x14ac:dyDescent="0.25">
      <c r="A11" s="18">
        <v>1</v>
      </c>
      <c r="B11" s="4"/>
      <c r="C11" s="8" t="s">
        <v>8</v>
      </c>
      <c r="D11" s="10"/>
      <c r="E11" s="11" t="s">
        <v>53</v>
      </c>
      <c r="F11" s="9">
        <v>40</v>
      </c>
      <c r="G11" s="12">
        <f>F$7</f>
        <v>45</v>
      </c>
      <c r="H11" s="19">
        <f>G11*F11</f>
        <v>1800</v>
      </c>
      <c r="I11" s="3"/>
    </row>
    <row r="12" spans="1:9" ht="15" thickBot="1" x14ac:dyDescent="0.25">
      <c r="A12" s="18">
        <v>2</v>
      </c>
      <c r="B12" s="4"/>
      <c r="C12" s="8" t="s">
        <v>9</v>
      </c>
      <c r="D12" s="10"/>
      <c r="E12" s="11" t="s">
        <v>53</v>
      </c>
      <c r="F12" s="9">
        <v>160</v>
      </c>
      <c r="G12" s="12">
        <f>F$7</f>
        <v>45</v>
      </c>
      <c r="H12" s="19">
        <f t="shared" ref="H12:H13" si="0">G12*F12</f>
        <v>7200</v>
      </c>
      <c r="I12" s="3"/>
    </row>
    <row r="13" spans="1:9" ht="15" thickBot="1" x14ac:dyDescent="0.25">
      <c r="A13" s="18">
        <v>3</v>
      </c>
      <c r="B13" s="4"/>
      <c r="C13" s="8" t="s">
        <v>10</v>
      </c>
      <c r="D13" s="10"/>
      <c r="E13" s="11" t="s">
        <v>53</v>
      </c>
      <c r="F13" s="9">
        <v>120</v>
      </c>
      <c r="G13" s="12">
        <f>F$7</f>
        <v>45</v>
      </c>
      <c r="H13" s="19">
        <f t="shared" si="0"/>
        <v>5400</v>
      </c>
      <c r="I13" s="3"/>
    </row>
    <row r="14" spans="1:9" ht="15" thickBot="1" x14ac:dyDescent="0.25">
      <c r="A14" s="18" t="s">
        <v>6</v>
      </c>
      <c r="B14" s="10" t="s">
        <v>11</v>
      </c>
      <c r="C14" s="10"/>
      <c r="D14" s="7"/>
      <c r="E14" s="5"/>
      <c r="F14" s="5"/>
      <c r="G14" s="5"/>
      <c r="H14" s="28"/>
      <c r="I14" s="3"/>
    </row>
    <row r="15" spans="1:9" ht="15" thickBot="1" x14ac:dyDescent="0.25">
      <c r="A15" s="18">
        <v>1</v>
      </c>
      <c r="B15" s="4"/>
      <c r="C15" s="8" t="s">
        <v>12</v>
      </c>
      <c r="D15" s="10"/>
      <c r="E15" s="11" t="s">
        <v>53</v>
      </c>
      <c r="F15" s="9">
        <v>80</v>
      </c>
      <c r="G15" s="12">
        <f t="shared" ref="G15:G21" si="1">F$7</f>
        <v>45</v>
      </c>
      <c r="H15" s="19">
        <f t="shared" ref="H15:H21" si="2">G15*F15</f>
        <v>3600</v>
      </c>
      <c r="I15" s="3"/>
    </row>
    <row r="16" spans="1:9" ht="15" thickBot="1" x14ac:dyDescent="0.25">
      <c r="A16" s="18">
        <v>2</v>
      </c>
      <c r="B16" s="4"/>
      <c r="C16" s="8" t="s">
        <v>13</v>
      </c>
      <c r="D16" s="10"/>
      <c r="E16" s="11" t="s">
        <v>53</v>
      </c>
      <c r="F16" s="9">
        <v>64</v>
      </c>
      <c r="G16" s="12">
        <f t="shared" si="1"/>
        <v>45</v>
      </c>
      <c r="H16" s="19">
        <f t="shared" si="2"/>
        <v>2880</v>
      </c>
      <c r="I16" s="3"/>
    </row>
    <row r="17" spans="1:9" ht="15" thickBot="1" x14ac:dyDescent="0.25">
      <c r="A17" s="18">
        <v>3</v>
      </c>
      <c r="B17" s="4"/>
      <c r="C17" s="8" t="s">
        <v>14</v>
      </c>
      <c r="D17" s="10"/>
      <c r="E17" s="11" t="s">
        <v>53</v>
      </c>
      <c r="F17" s="9">
        <v>1</v>
      </c>
      <c r="G17" s="12">
        <f t="shared" si="1"/>
        <v>45</v>
      </c>
      <c r="H17" s="19">
        <f t="shared" si="2"/>
        <v>45</v>
      </c>
      <c r="I17" s="3"/>
    </row>
    <row r="18" spans="1:9" ht="15" thickBot="1" x14ac:dyDescent="0.25">
      <c r="A18" s="18">
        <v>4</v>
      </c>
      <c r="B18" s="4"/>
      <c r="C18" s="8" t="s">
        <v>18</v>
      </c>
      <c r="D18" s="10"/>
      <c r="E18" s="11" t="s">
        <v>53</v>
      </c>
      <c r="F18" s="9">
        <v>1</v>
      </c>
      <c r="G18" s="12">
        <f t="shared" si="1"/>
        <v>45</v>
      </c>
      <c r="H18" s="19">
        <f t="shared" si="2"/>
        <v>45</v>
      </c>
      <c r="I18" s="3"/>
    </row>
    <row r="19" spans="1:9" ht="15" thickBot="1" x14ac:dyDescent="0.25">
      <c r="A19" s="18">
        <v>5</v>
      </c>
      <c r="B19" s="4"/>
      <c r="C19" s="8" t="s">
        <v>17</v>
      </c>
      <c r="D19" s="10"/>
      <c r="E19" s="11" t="s">
        <v>53</v>
      </c>
      <c r="F19" s="9">
        <v>1</v>
      </c>
      <c r="G19" s="12">
        <f t="shared" si="1"/>
        <v>45</v>
      </c>
      <c r="H19" s="19">
        <f t="shared" si="2"/>
        <v>45</v>
      </c>
      <c r="I19" s="3"/>
    </row>
    <row r="20" spans="1:9" ht="15" thickBot="1" x14ac:dyDescent="0.25">
      <c r="A20" s="18">
        <v>6</v>
      </c>
      <c r="B20" s="4"/>
      <c r="C20" s="8" t="s">
        <v>15</v>
      </c>
      <c r="D20" s="10"/>
      <c r="E20" s="11" t="s">
        <v>53</v>
      </c>
      <c r="F20" s="9">
        <v>1</v>
      </c>
      <c r="G20" s="12">
        <f t="shared" si="1"/>
        <v>45</v>
      </c>
      <c r="H20" s="19">
        <f t="shared" si="2"/>
        <v>45</v>
      </c>
      <c r="I20" s="3"/>
    </row>
    <row r="21" spans="1:9" ht="15" thickBot="1" x14ac:dyDescent="0.25">
      <c r="A21" s="18">
        <v>7</v>
      </c>
      <c r="B21" s="4"/>
      <c r="C21" s="8" t="s">
        <v>16</v>
      </c>
      <c r="D21" s="10"/>
      <c r="E21" s="11" t="s">
        <v>53</v>
      </c>
      <c r="F21" s="9">
        <v>4</v>
      </c>
      <c r="G21" s="12">
        <f t="shared" si="1"/>
        <v>45</v>
      </c>
      <c r="H21" s="19">
        <f t="shared" si="2"/>
        <v>180</v>
      </c>
      <c r="I21" s="3"/>
    </row>
    <row r="22" spans="1:9" ht="15" thickBot="1" x14ac:dyDescent="0.25">
      <c r="A22" s="18" t="s">
        <v>6</v>
      </c>
      <c r="B22" s="10" t="s">
        <v>19</v>
      </c>
      <c r="C22" s="10"/>
      <c r="D22" s="7"/>
      <c r="E22" s="5"/>
      <c r="F22" s="5"/>
      <c r="G22" s="5"/>
      <c r="H22" s="28"/>
      <c r="I22" s="3"/>
    </row>
    <row r="23" spans="1:9" ht="15" thickBot="1" x14ac:dyDescent="0.25">
      <c r="A23" s="18" t="s">
        <v>6</v>
      </c>
      <c r="B23" s="4"/>
      <c r="C23" s="8" t="s">
        <v>20</v>
      </c>
      <c r="D23" s="7"/>
      <c r="E23" s="5"/>
      <c r="F23" s="5"/>
      <c r="G23" s="5"/>
      <c r="H23" s="28"/>
      <c r="I23" s="3"/>
    </row>
    <row r="24" spans="1:9" ht="15" thickBot="1" x14ac:dyDescent="0.25">
      <c r="A24" s="18">
        <v>1</v>
      </c>
      <c r="B24" s="4"/>
      <c r="C24" s="5"/>
      <c r="D24" s="6" t="s">
        <v>21</v>
      </c>
      <c r="E24" s="11" t="s">
        <v>53</v>
      </c>
      <c r="F24" s="9">
        <v>0</v>
      </c>
      <c r="G24" s="12">
        <f t="shared" ref="G24:G28" si="3">F$7</f>
        <v>45</v>
      </c>
      <c r="H24" s="19">
        <f t="shared" ref="H24:H28" si="4">G24*F24</f>
        <v>0</v>
      </c>
      <c r="I24" s="3"/>
    </row>
    <row r="25" spans="1:9" ht="15" thickBot="1" x14ac:dyDescent="0.25">
      <c r="A25" s="18">
        <v>2</v>
      </c>
      <c r="B25" s="4"/>
      <c r="C25" s="5"/>
      <c r="D25" s="6" t="s">
        <v>24</v>
      </c>
      <c r="E25" s="11" t="s">
        <v>53</v>
      </c>
      <c r="F25" s="9">
        <v>0</v>
      </c>
      <c r="G25" s="12">
        <f t="shared" si="3"/>
        <v>45</v>
      </c>
      <c r="H25" s="19">
        <f t="shared" si="4"/>
        <v>0</v>
      </c>
      <c r="I25" s="3"/>
    </row>
    <row r="26" spans="1:9" ht="15" thickBot="1" x14ac:dyDescent="0.25">
      <c r="A26" s="18">
        <v>3</v>
      </c>
      <c r="B26" s="4"/>
      <c r="C26" s="5"/>
      <c r="D26" s="6" t="s">
        <v>22</v>
      </c>
      <c r="E26" s="11" t="s">
        <v>53</v>
      </c>
      <c r="F26" s="9">
        <v>0</v>
      </c>
      <c r="G26" s="12">
        <f t="shared" si="3"/>
        <v>45</v>
      </c>
      <c r="H26" s="19">
        <f t="shared" si="4"/>
        <v>0</v>
      </c>
      <c r="I26" s="3"/>
    </row>
    <row r="27" spans="1:9" ht="15" thickBot="1" x14ac:dyDescent="0.25">
      <c r="A27" s="18">
        <v>4</v>
      </c>
      <c r="B27" s="4"/>
      <c r="C27" s="5"/>
      <c r="D27" s="6" t="s">
        <v>23</v>
      </c>
      <c r="E27" s="11" t="s">
        <v>53</v>
      </c>
      <c r="F27" s="9">
        <v>1</v>
      </c>
      <c r="G27" s="12">
        <f t="shared" si="3"/>
        <v>45</v>
      </c>
      <c r="H27" s="19">
        <f t="shared" si="4"/>
        <v>45</v>
      </c>
      <c r="I27" s="3"/>
    </row>
    <row r="28" spans="1:9" ht="15" thickBot="1" x14ac:dyDescent="0.25">
      <c r="A28" s="18">
        <v>5</v>
      </c>
      <c r="B28" s="4"/>
      <c r="C28" s="5"/>
      <c r="D28" s="6" t="s">
        <v>25</v>
      </c>
      <c r="E28" s="11" t="s">
        <v>53</v>
      </c>
      <c r="F28" s="9">
        <v>12</v>
      </c>
      <c r="G28" s="12">
        <f t="shared" si="3"/>
        <v>45</v>
      </c>
      <c r="H28" s="19">
        <f t="shared" si="4"/>
        <v>540</v>
      </c>
      <c r="I28" s="3"/>
    </row>
    <row r="29" spans="1:9" ht="15" thickBot="1" x14ac:dyDescent="0.25">
      <c r="A29" s="18" t="s">
        <v>6</v>
      </c>
      <c r="B29" s="4"/>
      <c r="C29" s="8" t="s">
        <v>26</v>
      </c>
      <c r="D29" s="7"/>
      <c r="E29" s="5"/>
      <c r="F29" s="5"/>
      <c r="G29" s="5"/>
      <c r="H29" s="28"/>
      <c r="I29" s="3"/>
    </row>
    <row r="30" spans="1:9" ht="15" thickBot="1" x14ac:dyDescent="0.25">
      <c r="A30" s="18">
        <v>1</v>
      </c>
      <c r="B30" s="4"/>
      <c r="C30" s="5"/>
      <c r="D30" s="6" t="s">
        <v>27</v>
      </c>
      <c r="E30" s="13" t="s">
        <v>54</v>
      </c>
      <c r="F30" s="9">
        <v>16</v>
      </c>
      <c r="G30" s="14">
        <f>F$5</f>
        <v>35</v>
      </c>
      <c r="H30" s="19">
        <f t="shared" ref="H30" si="5">G30*F30</f>
        <v>560</v>
      </c>
      <c r="I30" s="3"/>
    </row>
    <row r="31" spans="1:9" ht="15" thickBot="1" x14ac:dyDescent="0.25">
      <c r="A31" s="18">
        <v>2</v>
      </c>
      <c r="B31" s="4"/>
      <c r="C31" s="5"/>
      <c r="D31" s="6" t="s">
        <v>28</v>
      </c>
      <c r="E31" s="13" t="s">
        <v>54</v>
      </c>
      <c r="F31" s="9">
        <v>48</v>
      </c>
      <c r="G31" s="14">
        <f>F$5</f>
        <v>35</v>
      </c>
      <c r="H31" s="19">
        <f t="shared" ref="H31:H42" si="6">G31*F31</f>
        <v>1680</v>
      </c>
      <c r="I31" s="3"/>
    </row>
    <row r="32" spans="1:9" ht="15" thickBot="1" x14ac:dyDescent="0.25">
      <c r="A32" s="18">
        <v>3</v>
      </c>
      <c r="B32" s="4"/>
      <c r="C32" s="5"/>
      <c r="D32" s="6" t="s">
        <v>29</v>
      </c>
      <c r="E32" s="13" t="s">
        <v>54</v>
      </c>
      <c r="F32" s="9">
        <v>64</v>
      </c>
      <c r="G32" s="14">
        <f>F$5</f>
        <v>35</v>
      </c>
      <c r="H32" s="19">
        <f t="shared" si="6"/>
        <v>2240</v>
      </c>
      <c r="I32" s="3"/>
    </row>
    <row r="33" spans="1:9" ht="15" thickBot="1" x14ac:dyDescent="0.25">
      <c r="A33" s="18">
        <v>4</v>
      </c>
      <c r="B33" s="4"/>
      <c r="C33" s="5"/>
      <c r="D33" s="6" t="s">
        <v>30</v>
      </c>
      <c r="E33" s="15" t="s">
        <v>55</v>
      </c>
      <c r="F33" s="9">
        <v>6</v>
      </c>
      <c r="G33" s="12">
        <f>F$6</f>
        <v>45</v>
      </c>
      <c r="H33" s="19">
        <f t="shared" si="6"/>
        <v>270</v>
      </c>
      <c r="I33" s="3"/>
    </row>
    <row r="34" spans="1:9" ht="15" thickBot="1" x14ac:dyDescent="0.25">
      <c r="A34" s="18">
        <v>5</v>
      </c>
      <c r="B34" s="4"/>
      <c r="C34" s="5"/>
      <c r="D34" s="6" t="s">
        <v>31</v>
      </c>
      <c r="E34" s="15" t="s">
        <v>55</v>
      </c>
      <c r="F34" s="9">
        <v>2</v>
      </c>
      <c r="G34" s="12">
        <f>F$6</f>
        <v>45</v>
      </c>
      <c r="H34" s="19">
        <f t="shared" si="6"/>
        <v>90</v>
      </c>
      <c r="I34" s="3"/>
    </row>
    <row r="35" spans="1:9" ht="15" thickBot="1" x14ac:dyDescent="0.25">
      <c r="A35" s="18">
        <v>6</v>
      </c>
      <c r="B35" s="4"/>
      <c r="C35" s="5"/>
      <c r="D35" s="6" t="s">
        <v>32</v>
      </c>
      <c r="E35" s="15" t="s">
        <v>55</v>
      </c>
      <c r="F35" s="9">
        <v>12</v>
      </c>
      <c r="G35" s="12">
        <f>F$6</f>
        <v>45</v>
      </c>
      <c r="H35" s="19">
        <f t="shared" si="6"/>
        <v>540</v>
      </c>
      <c r="I35" s="3"/>
    </row>
    <row r="36" spans="1:9" ht="15" thickBot="1" x14ac:dyDescent="0.25">
      <c r="A36" s="18">
        <v>7</v>
      </c>
      <c r="B36" s="4"/>
      <c r="C36" s="5"/>
      <c r="D36" s="6" t="s">
        <v>33</v>
      </c>
      <c r="E36" s="15" t="s">
        <v>55</v>
      </c>
      <c r="F36" s="9">
        <v>6</v>
      </c>
      <c r="G36" s="12">
        <f>F$6</f>
        <v>45</v>
      </c>
      <c r="H36" s="19">
        <f t="shared" si="6"/>
        <v>270</v>
      </c>
      <c r="I36" s="3"/>
    </row>
    <row r="37" spans="1:9" ht="15" thickBot="1" x14ac:dyDescent="0.25">
      <c r="A37" s="18">
        <v>8</v>
      </c>
      <c r="B37" s="4"/>
      <c r="C37" s="5"/>
      <c r="D37" s="6" t="s">
        <v>34</v>
      </c>
      <c r="E37" s="13" t="s">
        <v>54</v>
      </c>
      <c r="F37" s="9">
        <v>8</v>
      </c>
      <c r="G37" s="14">
        <f t="shared" ref="G37:G41" si="7">F$5</f>
        <v>35</v>
      </c>
      <c r="H37" s="19">
        <f t="shared" si="6"/>
        <v>280</v>
      </c>
      <c r="I37" s="3"/>
    </row>
    <row r="38" spans="1:9" ht="15" thickBot="1" x14ac:dyDescent="0.25">
      <c r="A38" s="18">
        <v>9</v>
      </c>
      <c r="B38" s="4"/>
      <c r="C38" s="5"/>
      <c r="D38" s="6" t="s">
        <v>37</v>
      </c>
      <c r="E38" s="13" t="s">
        <v>54</v>
      </c>
      <c r="F38" s="9">
        <v>16</v>
      </c>
      <c r="G38" s="14">
        <f t="shared" si="7"/>
        <v>35</v>
      </c>
      <c r="H38" s="19">
        <f t="shared" si="6"/>
        <v>560</v>
      </c>
      <c r="I38" s="3"/>
    </row>
    <row r="39" spans="1:9" ht="15" thickBot="1" x14ac:dyDescent="0.25">
      <c r="A39" s="18">
        <v>10</v>
      </c>
      <c r="B39" s="4"/>
      <c r="C39" s="5"/>
      <c r="D39" s="6" t="s">
        <v>35</v>
      </c>
      <c r="E39" s="13" t="s">
        <v>54</v>
      </c>
      <c r="F39" s="9">
        <v>16</v>
      </c>
      <c r="G39" s="14">
        <f t="shared" si="7"/>
        <v>35</v>
      </c>
      <c r="H39" s="19">
        <f t="shared" si="6"/>
        <v>560</v>
      </c>
      <c r="I39" s="3"/>
    </row>
    <row r="40" spans="1:9" ht="15" thickBot="1" x14ac:dyDescent="0.25">
      <c r="A40" s="18">
        <v>11</v>
      </c>
      <c r="B40" s="4"/>
      <c r="C40" s="5"/>
      <c r="D40" s="6" t="s">
        <v>40</v>
      </c>
      <c r="E40" s="13" t="s">
        <v>54</v>
      </c>
      <c r="F40" s="9">
        <v>12</v>
      </c>
      <c r="G40" s="14">
        <f t="shared" si="7"/>
        <v>35</v>
      </c>
      <c r="H40" s="19">
        <f t="shared" si="6"/>
        <v>420</v>
      </c>
      <c r="I40" s="3"/>
    </row>
    <row r="41" spans="1:9" ht="15" thickBot="1" x14ac:dyDescent="0.25">
      <c r="A41" s="18">
        <v>12</v>
      </c>
      <c r="B41" s="4"/>
      <c r="C41" s="5"/>
      <c r="D41" s="6" t="s">
        <v>36</v>
      </c>
      <c r="E41" s="13" t="s">
        <v>54</v>
      </c>
      <c r="F41" s="9">
        <v>12</v>
      </c>
      <c r="G41" s="14">
        <f t="shared" si="7"/>
        <v>35</v>
      </c>
      <c r="H41" s="19">
        <f t="shared" si="6"/>
        <v>420</v>
      </c>
      <c r="I41" s="3"/>
    </row>
    <row r="42" spans="1:9" ht="15" thickBot="1" x14ac:dyDescent="0.25">
      <c r="A42" s="18">
        <v>13</v>
      </c>
      <c r="B42" s="4"/>
      <c r="C42" s="5"/>
      <c r="D42" s="6" t="s">
        <v>38</v>
      </c>
      <c r="E42" s="16" t="s">
        <v>56</v>
      </c>
      <c r="F42" s="9">
        <v>12</v>
      </c>
      <c r="G42" s="12">
        <f>F$4</f>
        <v>35</v>
      </c>
      <c r="H42" s="19">
        <f t="shared" si="6"/>
        <v>420</v>
      </c>
      <c r="I42" s="3"/>
    </row>
    <row r="43" spans="1:9" ht="15" thickBot="1" x14ac:dyDescent="0.25">
      <c r="A43" s="18" t="s">
        <v>6</v>
      </c>
      <c r="B43" s="4"/>
      <c r="C43" s="8" t="s">
        <v>39</v>
      </c>
      <c r="D43" s="7"/>
      <c r="E43" s="5"/>
      <c r="F43" s="5"/>
      <c r="G43" s="5"/>
      <c r="H43" s="28"/>
      <c r="I43" s="3"/>
    </row>
    <row r="44" spans="1:9" ht="15" thickBot="1" x14ac:dyDescent="0.25">
      <c r="A44" s="18">
        <v>1</v>
      </c>
      <c r="B44" s="4"/>
      <c r="C44" s="5"/>
      <c r="D44" s="6" t="s">
        <v>41</v>
      </c>
      <c r="E44" s="16" t="s">
        <v>56</v>
      </c>
      <c r="F44" s="9">
        <v>30</v>
      </c>
      <c r="G44" s="12">
        <f t="shared" ref="G44:G47" si="8">F$4</f>
        <v>35</v>
      </c>
      <c r="H44" s="19">
        <f t="shared" ref="H44:H96" si="9">G44*F44</f>
        <v>1050</v>
      </c>
      <c r="I44" s="3"/>
    </row>
    <row r="45" spans="1:9" ht="15" thickBot="1" x14ac:dyDescent="0.25">
      <c r="A45" s="18">
        <v>2</v>
      </c>
      <c r="B45" s="4"/>
      <c r="C45" s="5"/>
      <c r="D45" s="6" t="s">
        <v>42</v>
      </c>
      <c r="E45" s="16" t="s">
        <v>56</v>
      </c>
      <c r="F45" s="9">
        <v>24</v>
      </c>
      <c r="G45" s="12">
        <f t="shared" si="8"/>
        <v>35</v>
      </c>
      <c r="H45" s="19">
        <f t="shared" si="9"/>
        <v>840</v>
      </c>
      <c r="I45" s="3"/>
    </row>
    <row r="46" spans="1:9" ht="15" thickBot="1" x14ac:dyDescent="0.25">
      <c r="A46" s="18">
        <v>3</v>
      </c>
      <c r="B46" s="4"/>
      <c r="C46" s="5"/>
      <c r="D46" s="6" t="s">
        <v>61</v>
      </c>
      <c r="E46" s="16" t="s">
        <v>56</v>
      </c>
      <c r="F46" s="9">
        <v>100</v>
      </c>
      <c r="G46" s="12">
        <f t="shared" si="8"/>
        <v>35</v>
      </c>
      <c r="H46" s="19">
        <f t="shared" si="9"/>
        <v>3500</v>
      </c>
      <c r="I46" s="3"/>
    </row>
    <row r="47" spans="1:9" ht="15" thickBot="1" x14ac:dyDescent="0.25">
      <c r="A47" s="18">
        <v>4</v>
      </c>
      <c r="B47" s="4"/>
      <c r="C47" s="5"/>
      <c r="D47" s="6" t="s">
        <v>62</v>
      </c>
      <c r="E47" s="16" t="s">
        <v>56</v>
      </c>
      <c r="F47" s="9">
        <v>16</v>
      </c>
      <c r="G47" s="12">
        <f t="shared" si="8"/>
        <v>35</v>
      </c>
      <c r="H47" s="19">
        <f t="shared" si="9"/>
        <v>560</v>
      </c>
      <c r="I47" s="3"/>
    </row>
    <row r="48" spans="1:9" ht="15" thickBot="1" x14ac:dyDescent="0.25">
      <c r="A48" s="18">
        <v>5</v>
      </c>
      <c r="B48" s="4"/>
      <c r="C48" s="5"/>
      <c r="D48" s="6" t="s">
        <v>64</v>
      </c>
      <c r="E48" s="15" t="s">
        <v>55</v>
      </c>
      <c r="F48" s="9">
        <v>16</v>
      </c>
      <c r="G48" s="12">
        <f>F$6</f>
        <v>45</v>
      </c>
      <c r="H48" s="19">
        <f t="shared" si="9"/>
        <v>720</v>
      </c>
      <c r="I48" s="3"/>
    </row>
    <row r="49" spans="1:9" ht="15" thickBot="1" x14ac:dyDescent="0.25">
      <c r="A49" s="18">
        <v>6</v>
      </c>
      <c r="B49" s="4"/>
      <c r="C49" s="5"/>
      <c r="D49" s="6" t="s">
        <v>63</v>
      </c>
      <c r="E49" s="16" t="s">
        <v>56</v>
      </c>
      <c r="F49" s="9">
        <v>36</v>
      </c>
      <c r="G49" s="12">
        <f>F$4</f>
        <v>35</v>
      </c>
      <c r="H49" s="19">
        <f t="shared" si="9"/>
        <v>1260</v>
      </c>
      <c r="I49" s="3"/>
    </row>
    <row r="50" spans="1:9" ht="15" thickBot="1" x14ac:dyDescent="0.25">
      <c r="A50" s="18">
        <v>7</v>
      </c>
      <c r="B50" s="4"/>
      <c r="C50" s="5"/>
      <c r="D50" s="6" t="s">
        <v>65</v>
      </c>
      <c r="E50" s="15" t="s">
        <v>55</v>
      </c>
      <c r="F50" s="9">
        <v>16</v>
      </c>
      <c r="G50" s="12">
        <f>F$6</f>
        <v>45</v>
      </c>
      <c r="H50" s="19">
        <f t="shared" si="9"/>
        <v>720</v>
      </c>
      <c r="I50" s="3"/>
    </row>
    <row r="51" spans="1:9" ht="15" thickBot="1" x14ac:dyDescent="0.25">
      <c r="A51" s="18">
        <v>8</v>
      </c>
      <c r="B51" s="4"/>
      <c r="C51" s="5"/>
      <c r="D51" s="6" t="s">
        <v>66</v>
      </c>
      <c r="E51" s="16" t="s">
        <v>56</v>
      </c>
      <c r="F51" s="9">
        <v>48</v>
      </c>
      <c r="G51" s="12">
        <f>F$4</f>
        <v>35</v>
      </c>
      <c r="H51" s="19">
        <f t="shared" si="9"/>
        <v>1680</v>
      </c>
      <c r="I51" s="3"/>
    </row>
    <row r="52" spans="1:9" ht="15" thickBot="1" x14ac:dyDescent="0.25">
      <c r="A52" s="18">
        <v>9</v>
      </c>
      <c r="B52" s="4"/>
      <c r="C52" s="5"/>
      <c r="D52" s="6" t="s">
        <v>67</v>
      </c>
      <c r="E52" s="15" t="s">
        <v>55</v>
      </c>
      <c r="F52" s="9">
        <v>64</v>
      </c>
      <c r="G52" s="12">
        <f>F$6</f>
        <v>45</v>
      </c>
      <c r="H52" s="19">
        <f t="shared" si="9"/>
        <v>2880</v>
      </c>
      <c r="I52" s="3"/>
    </row>
    <row r="53" spans="1:9" ht="15" thickBot="1" x14ac:dyDescent="0.25">
      <c r="A53" s="18">
        <v>10</v>
      </c>
      <c r="B53" s="4"/>
      <c r="C53" s="5"/>
      <c r="D53" s="6" t="s">
        <v>68</v>
      </c>
      <c r="E53" s="16" t="s">
        <v>56</v>
      </c>
      <c r="F53" s="9">
        <v>64</v>
      </c>
      <c r="G53" s="12">
        <f>F$4</f>
        <v>35</v>
      </c>
      <c r="H53" s="19">
        <f t="shared" si="9"/>
        <v>2240</v>
      </c>
      <c r="I53" s="3"/>
    </row>
    <row r="54" spans="1:9" ht="15" thickBot="1" x14ac:dyDescent="0.25">
      <c r="A54" s="18">
        <v>11</v>
      </c>
      <c r="B54" s="4"/>
      <c r="C54" s="5"/>
      <c r="D54" s="6" t="s">
        <v>69</v>
      </c>
      <c r="E54" s="15" t="s">
        <v>55</v>
      </c>
      <c r="F54" s="9">
        <v>32</v>
      </c>
      <c r="G54" s="12">
        <f>F$6</f>
        <v>45</v>
      </c>
      <c r="H54" s="19">
        <f t="shared" si="9"/>
        <v>1440</v>
      </c>
      <c r="I54" s="3"/>
    </row>
    <row r="55" spans="1:9" ht="15" thickBot="1" x14ac:dyDescent="0.25">
      <c r="A55" s="18">
        <v>12</v>
      </c>
      <c r="B55" s="4"/>
      <c r="C55" s="5"/>
      <c r="D55" s="6" t="s">
        <v>70</v>
      </c>
      <c r="E55" s="16" t="s">
        <v>56</v>
      </c>
      <c r="F55" s="9">
        <v>84</v>
      </c>
      <c r="G55" s="12">
        <f>F$4</f>
        <v>35</v>
      </c>
      <c r="H55" s="19">
        <f t="shared" si="9"/>
        <v>2940</v>
      </c>
      <c r="I55" s="3"/>
    </row>
    <row r="56" spans="1:9" ht="15" thickBot="1" x14ac:dyDescent="0.25">
      <c r="A56" s="18">
        <v>13</v>
      </c>
      <c r="B56" s="4"/>
      <c r="C56" s="5"/>
      <c r="D56" s="6" t="s">
        <v>71</v>
      </c>
      <c r="E56" s="15" t="s">
        <v>55</v>
      </c>
      <c r="F56" s="9">
        <v>16</v>
      </c>
      <c r="G56" s="12">
        <f t="shared" ref="G56:G66" si="10">F$6</f>
        <v>45</v>
      </c>
      <c r="H56" s="19">
        <f t="shared" si="9"/>
        <v>720</v>
      </c>
      <c r="I56" s="3"/>
    </row>
    <row r="57" spans="1:9" ht="15" thickBot="1" x14ac:dyDescent="0.25">
      <c r="A57" s="18">
        <v>14</v>
      </c>
      <c r="B57" s="4"/>
      <c r="C57" s="5"/>
      <c r="D57" s="6" t="s">
        <v>72</v>
      </c>
      <c r="E57" s="15" t="s">
        <v>55</v>
      </c>
      <c r="F57" s="9">
        <v>60</v>
      </c>
      <c r="G57" s="12">
        <f t="shared" si="10"/>
        <v>45</v>
      </c>
      <c r="H57" s="19">
        <f t="shared" si="9"/>
        <v>2700</v>
      </c>
      <c r="I57" s="3"/>
    </row>
    <row r="58" spans="1:9" ht="15" thickBot="1" x14ac:dyDescent="0.25">
      <c r="A58" s="18">
        <v>15</v>
      </c>
      <c r="B58" s="4"/>
      <c r="C58" s="5"/>
      <c r="D58" s="6" t="s">
        <v>73</v>
      </c>
      <c r="E58" s="15" t="s">
        <v>55</v>
      </c>
      <c r="F58" s="9">
        <v>40</v>
      </c>
      <c r="G58" s="12">
        <f t="shared" si="10"/>
        <v>45</v>
      </c>
      <c r="H58" s="19">
        <f t="shared" si="9"/>
        <v>1800</v>
      </c>
      <c r="I58" s="3"/>
    </row>
    <row r="59" spans="1:9" ht="15" thickBot="1" x14ac:dyDescent="0.25">
      <c r="A59" s="18">
        <v>16</v>
      </c>
      <c r="B59" s="4"/>
      <c r="C59" s="5"/>
      <c r="D59" s="6" t="s">
        <v>74</v>
      </c>
      <c r="E59" s="15" t="s">
        <v>55</v>
      </c>
      <c r="F59" s="9">
        <v>36</v>
      </c>
      <c r="G59" s="12">
        <f t="shared" si="10"/>
        <v>45</v>
      </c>
      <c r="H59" s="19">
        <f t="shared" si="9"/>
        <v>1620</v>
      </c>
      <c r="I59" s="3"/>
    </row>
    <row r="60" spans="1:9" ht="15" thickBot="1" x14ac:dyDescent="0.25">
      <c r="A60" s="18">
        <v>17</v>
      </c>
      <c r="B60" s="4"/>
      <c r="C60" s="5"/>
      <c r="D60" s="6" t="s">
        <v>75</v>
      </c>
      <c r="E60" s="15" t="s">
        <v>55</v>
      </c>
      <c r="F60" s="9">
        <v>56</v>
      </c>
      <c r="G60" s="12">
        <f t="shared" si="10"/>
        <v>45</v>
      </c>
      <c r="H60" s="19">
        <f t="shared" si="9"/>
        <v>2520</v>
      </c>
      <c r="I60" s="3"/>
    </row>
    <row r="61" spans="1:9" ht="15" thickBot="1" x14ac:dyDescent="0.25">
      <c r="A61" s="18">
        <v>18</v>
      </c>
      <c r="B61" s="4"/>
      <c r="C61" s="5"/>
      <c r="D61" s="6" t="s">
        <v>76</v>
      </c>
      <c r="E61" s="15" t="s">
        <v>55</v>
      </c>
      <c r="F61" s="9">
        <v>112</v>
      </c>
      <c r="G61" s="12">
        <f t="shared" si="10"/>
        <v>45</v>
      </c>
      <c r="H61" s="19">
        <f t="shared" si="9"/>
        <v>5040</v>
      </c>
      <c r="I61" s="3"/>
    </row>
    <row r="62" spans="1:9" ht="15" thickBot="1" x14ac:dyDescent="0.25">
      <c r="A62" s="18">
        <v>19</v>
      </c>
      <c r="B62" s="4"/>
      <c r="C62" s="5"/>
      <c r="D62" s="6" t="s">
        <v>77</v>
      </c>
      <c r="E62" s="15" t="s">
        <v>55</v>
      </c>
      <c r="F62" s="9">
        <v>20</v>
      </c>
      <c r="G62" s="12">
        <f t="shared" si="10"/>
        <v>45</v>
      </c>
      <c r="H62" s="19">
        <f t="shared" si="9"/>
        <v>900</v>
      </c>
      <c r="I62" s="3"/>
    </row>
    <row r="63" spans="1:9" ht="15" thickBot="1" x14ac:dyDescent="0.25">
      <c r="A63" s="18">
        <v>20</v>
      </c>
      <c r="B63" s="4"/>
      <c r="C63" s="5"/>
      <c r="D63" s="6" t="s">
        <v>78</v>
      </c>
      <c r="E63" s="15" t="s">
        <v>55</v>
      </c>
      <c r="F63" s="9">
        <v>20</v>
      </c>
      <c r="G63" s="12">
        <f t="shared" si="10"/>
        <v>45</v>
      </c>
      <c r="H63" s="19">
        <f t="shared" si="9"/>
        <v>900</v>
      </c>
      <c r="I63" s="3"/>
    </row>
    <row r="64" spans="1:9" ht="15" thickBot="1" x14ac:dyDescent="0.25">
      <c r="A64" s="18">
        <v>21</v>
      </c>
      <c r="B64" s="4"/>
      <c r="C64" s="5"/>
      <c r="D64" s="6" t="s">
        <v>79</v>
      </c>
      <c r="E64" s="15" t="s">
        <v>55</v>
      </c>
      <c r="F64" s="9">
        <v>48</v>
      </c>
      <c r="G64" s="12">
        <f t="shared" si="10"/>
        <v>45</v>
      </c>
      <c r="H64" s="19">
        <f t="shared" si="9"/>
        <v>2160</v>
      </c>
      <c r="I64" s="3"/>
    </row>
    <row r="65" spans="1:9" ht="15" thickBot="1" x14ac:dyDescent="0.25">
      <c r="A65" s="18">
        <v>22</v>
      </c>
      <c r="B65" s="4"/>
      <c r="C65" s="5"/>
      <c r="D65" s="6" t="s">
        <v>80</v>
      </c>
      <c r="E65" s="15" t="s">
        <v>55</v>
      </c>
      <c r="F65" s="9">
        <v>112</v>
      </c>
      <c r="G65" s="12">
        <f t="shared" si="10"/>
        <v>45</v>
      </c>
      <c r="H65" s="19">
        <f t="shared" si="9"/>
        <v>5040</v>
      </c>
      <c r="I65" s="3"/>
    </row>
    <row r="66" spans="1:9" ht="15" thickBot="1" x14ac:dyDescent="0.25">
      <c r="A66" s="18">
        <v>23</v>
      </c>
      <c r="B66" s="4"/>
      <c r="C66" s="5"/>
      <c r="D66" s="6" t="s">
        <v>81</v>
      </c>
      <c r="E66" s="15" t="s">
        <v>55</v>
      </c>
      <c r="F66" s="9">
        <v>80</v>
      </c>
      <c r="G66" s="12">
        <f t="shared" si="10"/>
        <v>45</v>
      </c>
      <c r="H66" s="19">
        <f t="shared" si="9"/>
        <v>3600</v>
      </c>
      <c r="I66" s="3"/>
    </row>
    <row r="67" spans="1:9" ht="15" thickBot="1" x14ac:dyDescent="0.25">
      <c r="A67" s="18">
        <v>24</v>
      </c>
      <c r="B67" s="4"/>
      <c r="C67" s="5"/>
      <c r="D67" s="6" t="s">
        <v>82</v>
      </c>
      <c r="E67" s="16" t="s">
        <v>56</v>
      </c>
      <c r="F67" s="9">
        <v>72</v>
      </c>
      <c r="G67" s="12">
        <f>F$4</f>
        <v>35</v>
      </c>
      <c r="H67" s="19">
        <f t="shared" si="9"/>
        <v>2520</v>
      </c>
      <c r="I67" s="3"/>
    </row>
    <row r="68" spans="1:9" ht="15" thickBot="1" x14ac:dyDescent="0.25">
      <c r="A68" s="18">
        <v>25</v>
      </c>
      <c r="B68" s="4"/>
      <c r="C68" s="5"/>
      <c r="D68" s="6" t="s">
        <v>83</v>
      </c>
      <c r="E68" s="15" t="s">
        <v>55</v>
      </c>
      <c r="F68" s="9">
        <v>16</v>
      </c>
      <c r="G68" s="12">
        <f t="shared" ref="G68:G77" si="11">F$6</f>
        <v>45</v>
      </c>
      <c r="H68" s="19">
        <f t="shared" si="9"/>
        <v>720</v>
      </c>
      <c r="I68" s="3"/>
    </row>
    <row r="69" spans="1:9" ht="15" thickBot="1" x14ac:dyDescent="0.25">
      <c r="A69" s="18">
        <v>26</v>
      </c>
      <c r="B69" s="4"/>
      <c r="C69" s="5"/>
      <c r="D69" s="6" t="s">
        <v>84</v>
      </c>
      <c r="E69" s="15" t="s">
        <v>55</v>
      </c>
      <c r="F69" s="9">
        <v>12</v>
      </c>
      <c r="G69" s="12">
        <f t="shared" si="11"/>
        <v>45</v>
      </c>
      <c r="H69" s="19">
        <f t="shared" si="9"/>
        <v>540</v>
      </c>
      <c r="I69" s="3"/>
    </row>
    <row r="70" spans="1:9" ht="15" thickBot="1" x14ac:dyDescent="0.25">
      <c r="A70" s="18">
        <v>27</v>
      </c>
      <c r="B70" s="4"/>
      <c r="C70" s="5"/>
      <c r="D70" s="6" t="s">
        <v>85</v>
      </c>
      <c r="E70" s="15" t="s">
        <v>55</v>
      </c>
      <c r="F70" s="9">
        <v>20</v>
      </c>
      <c r="G70" s="12">
        <f t="shared" si="11"/>
        <v>45</v>
      </c>
      <c r="H70" s="19">
        <f t="shared" si="9"/>
        <v>900</v>
      </c>
      <c r="I70" s="3"/>
    </row>
    <row r="71" spans="1:9" ht="15" thickBot="1" x14ac:dyDescent="0.25">
      <c r="A71" s="18">
        <v>28</v>
      </c>
      <c r="B71" s="4"/>
      <c r="C71" s="5"/>
      <c r="D71" s="6" t="s">
        <v>86</v>
      </c>
      <c r="E71" s="15" t="s">
        <v>55</v>
      </c>
      <c r="F71" s="9">
        <v>28</v>
      </c>
      <c r="G71" s="12">
        <f t="shared" si="11"/>
        <v>45</v>
      </c>
      <c r="H71" s="19">
        <f t="shared" si="9"/>
        <v>1260</v>
      </c>
      <c r="I71" s="3"/>
    </row>
    <row r="72" spans="1:9" ht="15" thickBot="1" x14ac:dyDescent="0.25">
      <c r="A72" s="18">
        <v>29</v>
      </c>
      <c r="B72" s="4"/>
      <c r="C72" s="5"/>
      <c r="D72" s="6" t="s">
        <v>87</v>
      </c>
      <c r="E72" s="15" t="s">
        <v>55</v>
      </c>
      <c r="F72" s="9">
        <v>12</v>
      </c>
      <c r="G72" s="12">
        <f t="shared" si="11"/>
        <v>45</v>
      </c>
      <c r="H72" s="19">
        <f t="shared" si="9"/>
        <v>540</v>
      </c>
      <c r="I72" s="3"/>
    </row>
    <row r="73" spans="1:9" ht="15" thickBot="1" x14ac:dyDescent="0.25">
      <c r="A73" s="18">
        <v>30</v>
      </c>
      <c r="B73" s="4"/>
      <c r="C73" s="5"/>
      <c r="D73" s="6" t="s">
        <v>88</v>
      </c>
      <c r="E73" s="15" t="s">
        <v>55</v>
      </c>
      <c r="F73" s="9">
        <v>12</v>
      </c>
      <c r="G73" s="12">
        <f t="shared" si="11"/>
        <v>45</v>
      </c>
      <c r="H73" s="19">
        <f t="shared" si="9"/>
        <v>540</v>
      </c>
      <c r="I73" s="3"/>
    </row>
    <row r="74" spans="1:9" ht="15" thickBot="1" x14ac:dyDescent="0.25">
      <c r="A74" s="18">
        <v>31</v>
      </c>
      <c r="B74" s="4"/>
      <c r="C74" s="5"/>
      <c r="D74" s="6" t="s">
        <v>89</v>
      </c>
      <c r="E74" s="15" t="s">
        <v>55</v>
      </c>
      <c r="F74" s="9">
        <v>12</v>
      </c>
      <c r="G74" s="12">
        <f t="shared" si="11"/>
        <v>45</v>
      </c>
      <c r="H74" s="19">
        <f t="shared" si="9"/>
        <v>540</v>
      </c>
      <c r="I74" s="3"/>
    </row>
    <row r="75" spans="1:9" ht="15" thickBot="1" x14ac:dyDescent="0.25">
      <c r="A75" s="18">
        <v>32</v>
      </c>
      <c r="B75" s="4"/>
      <c r="C75" s="5"/>
      <c r="D75" s="6" t="s">
        <v>90</v>
      </c>
      <c r="E75" s="15" t="s">
        <v>55</v>
      </c>
      <c r="F75" s="9">
        <v>12</v>
      </c>
      <c r="G75" s="12">
        <f t="shared" si="11"/>
        <v>45</v>
      </c>
      <c r="H75" s="19">
        <f t="shared" si="9"/>
        <v>540</v>
      </c>
      <c r="I75" s="3"/>
    </row>
    <row r="76" spans="1:9" ht="15" thickBot="1" x14ac:dyDescent="0.25">
      <c r="A76" s="18">
        <v>33</v>
      </c>
      <c r="B76" s="4"/>
      <c r="C76" s="5"/>
      <c r="D76" s="6" t="s">
        <v>89</v>
      </c>
      <c r="E76" s="15" t="s">
        <v>55</v>
      </c>
      <c r="F76" s="9">
        <v>12</v>
      </c>
      <c r="G76" s="12">
        <f t="shared" si="11"/>
        <v>45</v>
      </c>
      <c r="H76" s="19">
        <f t="shared" si="9"/>
        <v>540</v>
      </c>
      <c r="I76" s="3"/>
    </row>
    <row r="77" spans="1:9" ht="15" thickBot="1" x14ac:dyDescent="0.25">
      <c r="A77" s="18">
        <v>34</v>
      </c>
      <c r="B77" s="4"/>
      <c r="C77" s="5"/>
      <c r="D77" s="6" t="s">
        <v>91</v>
      </c>
      <c r="E77" s="15" t="s">
        <v>55</v>
      </c>
      <c r="F77" s="9">
        <v>12</v>
      </c>
      <c r="G77" s="12">
        <f t="shared" si="11"/>
        <v>45</v>
      </c>
      <c r="H77" s="19">
        <f t="shared" si="9"/>
        <v>540</v>
      </c>
      <c r="I77" s="3"/>
    </row>
    <row r="78" spans="1:9" ht="15" thickBot="1" x14ac:dyDescent="0.25">
      <c r="A78" s="18">
        <v>35</v>
      </c>
      <c r="B78" s="4"/>
      <c r="C78" s="5"/>
      <c r="D78" s="6" t="s">
        <v>92</v>
      </c>
      <c r="E78" s="16" t="s">
        <v>56</v>
      </c>
      <c r="F78" s="9">
        <v>32</v>
      </c>
      <c r="G78" s="12">
        <f>F$4</f>
        <v>35</v>
      </c>
      <c r="H78" s="19">
        <f t="shared" si="9"/>
        <v>1120</v>
      </c>
      <c r="I78" s="3"/>
    </row>
    <row r="79" spans="1:9" ht="15" thickBot="1" x14ac:dyDescent="0.25">
      <c r="A79" s="18">
        <v>36</v>
      </c>
      <c r="B79" s="4"/>
      <c r="C79" s="5"/>
      <c r="D79" s="6" t="s">
        <v>93</v>
      </c>
      <c r="E79" s="15" t="s">
        <v>55</v>
      </c>
      <c r="F79" s="9">
        <v>16</v>
      </c>
      <c r="G79" s="12">
        <f t="shared" ref="G79:G83" si="12">F$6</f>
        <v>45</v>
      </c>
      <c r="H79" s="19">
        <f t="shared" si="9"/>
        <v>720</v>
      </c>
      <c r="I79" s="3"/>
    </row>
    <row r="80" spans="1:9" ht="15" thickBot="1" x14ac:dyDescent="0.25">
      <c r="A80" s="18">
        <v>37</v>
      </c>
      <c r="B80" s="4"/>
      <c r="C80" s="5"/>
      <c r="D80" s="6" t="s">
        <v>94</v>
      </c>
      <c r="E80" s="15" t="s">
        <v>55</v>
      </c>
      <c r="F80" s="9">
        <v>24</v>
      </c>
      <c r="G80" s="12">
        <f t="shared" si="12"/>
        <v>45</v>
      </c>
      <c r="H80" s="19">
        <f t="shared" si="9"/>
        <v>1080</v>
      </c>
      <c r="I80" s="3"/>
    </row>
    <row r="81" spans="1:9" ht="15" thickBot="1" x14ac:dyDescent="0.25">
      <c r="A81" s="18">
        <v>38</v>
      </c>
      <c r="B81" s="4"/>
      <c r="C81" s="5"/>
      <c r="D81" s="6" t="s">
        <v>95</v>
      </c>
      <c r="E81" s="15" t="s">
        <v>55</v>
      </c>
      <c r="F81" s="9">
        <v>24</v>
      </c>
      <c r="G81" s="12">
        <f t="shared" si="12"/>
        <v>45</v>
      </c>
      <c r="H81" s="19">
        <f t="shared" si="9"/>
        <v>1080</v>
      </c>
      <c r="I81" s="3"/>
    </row>
    <row r="82" spans="1:9" ht="15" thickBot="1" x14ac:dyDescent="0.25">
      <c r="A82" s="18">
        <v>39</v>
      </c>
      <c r="B82" s="4"/>
      <c r="C82" s="5"/>
      <c r="D82" s="6" t="s">
        <v>96</v>
      </c>
      <c r="E82" s="15" t="s">
        <v>55</v>
      </c>
      <c r="F82" s="9">
        <v>20</v>
      </c>
      <c r="G82" s="12">
        <f t="shared" si="12"/>
        <v>45</v>
      </c>
      <c r="H82" s="19">
        <f t="shared" si="9"/>
        <v>900</v>
      </c>
      <c r="I82" s="3"/>
    </row>
    <row r="83" spans="1:9" ht="15" thickBot="1" x14ac:dyDescent="0.25">
      <c r="A83" s="18">
        <v>40</v>
      </c>
      <c r="B83" s="4"/>
      <c r="C83" s="5"/>
      <c r="D83" s="6" t="s">
        <v>97</v>
      </c>
      <c r="E83" s="15" t="s">
        <v>55</v>
      </c>
      <c r="F83" s="9">
        <v>12</v>
      </c>
      <c r="G83" s="12">
        <f t="shared" si="12"/>
        <v>45</v>
      </c>
      <c r="H83" s="19">
        <f t="shared" si="9"/>
        <v>540</v>
      </c>
      <c r="I83" s="3"/>
    </row>
    <row r="84" spans="1:9" ht="15" thickBot="1" x14ac:dyDescent="0.25">
      <c r="A84" s="18">
        <v>41</v>
      </c>
      <c r="B84" s="4"/>
      <c r="C84" s="5"/>
      <c r="D84" s="6" t="s">
        <v>98</v>
      </c>
      <c r="E84" s="16" t="s">
        <v>56</v>
      </c>
      <c r="F84" s="9">
        <v>24</v>
      </c>
      <c r="G84" s="12">
        <f>F$4</f>
        <v>35</v>
      </c>
      <c r="H84" s="19">
        <f t="shared" si="9"/>
        <v>840</v>
      </c>
      <c r="I84" s="3"/>
    </row>
    <row r="85" spans="1:9" ht="15" thickBot="1" x14ac:dyDescent="0.25">
      <c r="A85" s="18">
        <v>42</v>
      </c>
      <c r="B85" s="4"/>
      <c r="C85" s="5"/>
      <c r="D85" s="6" t="s">
        <v>99</v>
      </c>
      <c r="E85" s="15" t="s">
        <v>55</v>
      </c>
      <c r="F85" s="9">
        <v>16</v>
      </c>
      <c r="G85" s="12">
        <f t="shared" ref="G85:G93" si="13">F$6</f>
        <v>45</v>
      </c>
      <c r="H85" s="19">
        <f t="shared" si="9"/>
        <v>720</v>
      </c>
      <c r="I85" s="3"/>
    </row>
    <row r="86" spans="1:9" ht="15" thickBot="1" x14ac:dyDescent="0.25">
      <c r="A86" s="18">
        <v>43</v>
      </c>
      <c r="B86" s="4"/>
      <c r="C86" s="5"/>
      <c r="D86" s="6" t="s">
        <v>100</v>
      </c>
      <c r="E86" s="15" t="s">
        <v>55</v>
      </c>
      <c r="F86" s="9">
        <v>12</v>
      </c>
      <c r="G86" s="12">
        <f t="shared" si="13"/>
        <v>45</v>
      </c>
      <c r="H86" s="19">
        <f t="shared" si="9"/>
        <v>540</v>
      </c>
      <c r="I86" s="3"/>
    </row>
    <row r="87" spans="1:9" ht="15" thickBot="1" x14ac:dyDescent="0.25">
      <c r="A87" s="18">
        <v>44</v>
      </c>
      <c r="B87" s="4"/>
      <c r="C87" s="5"/>
      <c r="D87" s="6" t="s">
        <v>101</v>
      </c>
      <c r="E87" s="15" t="s">
        <v>55</v>
      </c>
      <c r="F87" s="9">
        <v>12</v>
      </c>
      <c r="G87" s="12">
        <f t="shared" si="13"/>
        <v>45</v>
      </c>
      <c r="H87" s="19">
        <f t="shared" si="9"/>
        <v>540</v>
      </c>
      <c r="I87" s="3"/>
    </row>
    <row r="88" spans="1:9" ht="15" thickBot="1" x14ac:dyDescent="0.25">
      <c r="A88" s="18">
        <v>45</v>
      </c>
      <c r="B88" s="4"/>
      <c r="C88" s="5"/>
      <c r="D88" s="6" t="s">
        <v>102</v>
      </c>
      <c r="E88" s="15" t="s">
        <v>55</v>
      </c>
      <c r="F88" s="9">
        <v>12</v>
      </c>
      <c r="G88" s="12">
        <f t="shared" si="13"/>
        <v>45</v>
      </c>
      <c r="H88" s="19">
        <f t="shared" si="9"/>
        <v>540</v>
      </c>
      <c r="I88" s="3"/>
    </row>
    <row r="89" spans="1:9" ht="15" thickBot="1" x14ac:dyDescent="0.25">
      <c r="A89" s="18">
        <v>46</v>
      </c>
      <c r="B89" s="4"/>
      <c r="C89" s="5"/>
      <c r="D89" s="6" t="s">
        <v>103</v>
      </c>
      <c r="E89" s="15" t="s">
        <v>55</v>
      </c>
      <c r="F89" s="9">
        <v>8</v>
      </c>
      <c r="G89" s="12">
        <f t="shared" si="13"/>
        <v>45</v>
      </c>
      <c r="H89" s="19">
        <f t="shared" si="9"/>
        <v>360</v>
      </c>
      <c r="I89" s="3"/>
    </row>
    <row r="90" spans="1:9" ht="15" thickBot="1" x14ac:dyDescent="0.25">
      <c r="A90" s="18">
        <v>47</v>
      </c>
      <c r="B90" s="4"/>
      <c r="C90" s="5"/>
      <c r="D90" s="6" t="s">
        <v>104</v>
      </c>
      <c r="E90" s="15" t="s">
        <v>55</v>
      </c>
      <c r="F90" s="9">
        <v>8</v>
      </c>
      <c r="G90" s="12">
        <f t="shared" si="13"/>
        <v>45</v>
      </c>
      <c r="H90" s="19">
        <f t="shared" si="9"/>
        <v>360</v>
      </c>
      <c r="I90" s="3"/>
    </row>
    <row r="91" spans="1:9" ht="15" thickBot="1" x14ac:dyDescent="0.25">
      <c r="A91" s="18">
        <v>48</v>
      </c>
      <c r="B91" s="4"/>
      <c r="C91" s="5"/>
      <c r="D91" s="6" t="s">
        <v>105</v>
      </c>
      <c r="E91" s="15" t="s">
        <v>55</v>
      </c>
      <c r="F91" s="9">
        <v>88</v>
      </c>
      <c r="G91" s="12">
        <f t="shared" si="13"/>
        <v>45</v>
      </c>
      <c r="H91" s="19">
        <f t="shared" si="9"/>
        <v>3960</v>
      </c>
      <c r="I91" s="3"/>
    </row>
    <row r="92" spans="1:9" ht="15" thickBot="1" x14ac:dyDescent="0.25">
      <c r="A92" s="18">
        <v>49</v>
      </c>
      <c r="B92" s="4"/>
      <c r="C92" s="5"/>
      <c r="D92" s="6" t="s">
        <v>106</v>
      </c>
      <c r="E92" s="15" t="s">
        <v>55</v>
      </c>
      <c r="F92" s="9">
        <v>64</v>
      </c>
      <c r="G92" s="12">
        <f t="shared" si="13"/>
        <v>45</v>
      </c>
      <c r="H92" s="19">
        <f t="shared" si="9"/>
        <v>2880</v>
      </c>
      <c r="I92" s="3"/>
    </row>
    <row r="93" spans="1:9" ht="15" thickBot="1" x14ac:dyDescent="0.25">
      <c r="A93" s="18">
        <v>50</v>
      </c>
      <c r="B93" s="4"/>
      <c r="C93" s="5"/>
      <c r="D93" s="6" t="s">
        <v>107</v>
      </c>
      <c r="E93" s="15" t="s">
        <v>55</v>
      </c>
      <c r="F93" s="9">
        <v>72</v>
      </c>
      <c r="G93" s="12">
        <f t="shared" si="13"/>
        <v>45</v>
      </c>
      <c r="H93" s="19">
        <f t="shared" si="9"/>
        <v>3240</v>
      </c>
      <c r="I93" s="3"/>
    </row>
    <row r="94" spans="1:9" ht="15" thickBot="1" x14ac:dyDescent="0.25">
      <c r="A94" s="18">
        <v>51</v>
      </c>
      <c r="B94" s="4"/>
      <c r="C94" s="5"/>
      <c r="D94" s="6" t="s">
        <v>43</v>
      </c>
      <c r="E94" s="16" t="s">
        <v>56</v>
      </c>
      <c r="F94" s="9">
        <v>12</v>
      </c>
      <c r="G94" s="12">
        <f>F$4</f>
        <v>35</v>
      </c>
      <c r="H94" s="19">
        <f t="shared" si="9"/>
        <v>420</v>
      </c>
      <c r="I94" s="3"/>
    </row>
    <row r="95" spans="1:9" ht="15" thickBot="1" x14ac:dyDescent="0.25">
      <c r="A95" s="18">
        <v>52</v>
      </c>
      <c r="B95" s="4"/>
      <c r="C95" s="5"/>
      <c r="D95" s="6" t="s">
        <v>44</v>
      </c>
      <c r="E95" s="15" t="s">
        <v>55</v>
      </c>
      <c r="F95" s="9">
        <v>12</v>
      </c>
      <c r="G95" s="12">
        <f>F$6</f>
        <v>45</v>
      </c>
      <c r="H95" s="19">
        <f t="shared" si="9"/>
        <v>540</v>
      </c>
      <c r="I95" s="3"/>
    </row>
    <row r="96" spans="1:9" ht="15" thickBot="1" x14ac:dyDescent="0.25">
      <c r="A96" s="18">
        <v>53</v>
      </c>
      <c r="B96" s="4"/>
      <c r="C96" s="5"/>
      <c r="D96" s="6" t="s">
        <v>45</v>
      </c>
      <c r="E96" s="16" t="s">
        <v>56</v>
      </c>
      <c r="F96" s="9">
        <v>8</v>
      </c>
      <c r="G96" s="12">
        <f>F$4</f>
        <v>35</v>
      </c>
      <c r="H96" s="19">
        <f t="shared" si="9"/>
        <v>280</v>
      </c>
      <c r="I96" s="3"/>
    </row>
    <row r="97" spans="1:9" ht="15" thickBot="1" x14ac:dyDescent="0.25">
      <c r="A97" s="18" t="s">
        <v>6</v>
      </c>
      <c r="B97" s="10" t="s">
        <v>46</v>
      </c>
      <c r="C97" s="10"/>
      <c r="D97" s="7"/>
      <c r="E97" s="5"/>
      <c r="F97" s="5"/>
      <c r="G97" s="5"/>
      <c r="H97" s="28"/>
      <c r="I97" s="3"/>
    </row>
    <row r="98" spans="1:9" ht="15" thickBot="1" x14ac:dyDescent="0.25">
      <c r="A98" s="18">
        <v>1</v>
      </c>
      <c r="B98" s="4"/>
      <c r="C98" s="8" t="s">
        <v>47</v>
      </c>
      <c r="D98" s="10"/>
      <c r="E98" s="11" t="s">
        <v>53</v>
      </c>
      <c r="F98" s="9">
        <v>8</v>
      </c>
      <c r="G98" s="12">
        <f t="shared" ref="G98:G102" si="14">F$7</f>
        <v>45</v>
      </c>
      <c r="H98" s="19">
        <f t="shared" ref="H98:H102" si="15">G98*F98</f>
        <v>360</v>
      </c>
      <c r="I98" s="3"/>
    </row>
    <row r="99" spans="1:9" ht="15" thickBot="1" x14ac:dyDescent="0.25">
      <c r="A99" s="18">
        <v>2</v>
      </c>
      <c r="B99" s="4"/>
      <c r="C99" s="8" t="s">
        <v>48</v>
      </c>
      <c r="D99" s="10"/>
      <c r="E99" s="11" t="s">
        <v>53</v>
      </c>
      <c r="F99" s="9">
        <v>8</v>
      </c>
      <c r="G99" s="12">
        <f t="shared" si="14"/>
        <v>45</v>
      </c>
      <c r="H99" s="19">
        <f t="shared" si="15"/>
        <v>360</v>
      </c>
      <c r="I99" s="3"/>
    </row>
    <row r="100" spans="1:9" ht="15" thickBot="1" x14ac:dyDescent="0.25">
      <c r="A100" s="18">
        <v>3</v>
      </c>
      <c r="B100" s="4"/>
      <c r="C100" s="8" t="s">
        <v>49</v>
      </c>
      <c r="D100" s="10"/>
      <c r="E100" s="11" t="s">
        <v>53</v>
      </c>
      <c r="F100" s="9">
        <v>8</v>
      </c>
      <c r="G100" s="12">
        <f t="shared" si="14"/>
        <v>45</v>
      </c>
      <c r="H100" s="19">
        <f t="shared" si="15"/>
        <v>360</v>
      </c>
      <c r="I100" s="3"/>
    </row>
    <row r="101" spans="1:9" ht="15" thickBot="1" x14ac:dyDescent="0.25">
      <c r="A101" s="18">
        <v>4</v>
      </c>
      <c r="B101" s="4"/>
      <c r="C101" s="8" t="s">
        <v>50</v>
      </c>
      <c r="D101" s="10"/>
      <c r="E101" s="11" t="s">
        <v>53</v>
      </c>
      <c r="F101" s="9">
        <v>6</v>
      </c>
      <c r="G101" s="12">
        <f t="shared" si="14"/>
        <v>45</v>
      </c>
      <c r="H101" s="19">
        <f t="shared" si="15"/>
        <v>270</v>
      </c>
      <c r="I101" s="3"/>
    </row>
    <row r="102" spans="1:9" ht="15" thickBot="1" x14ac:dyDescent="0.25">
      <c r="A102" s="20">
        <v>5</v>
      </c>
      <c r="B102" s="29"/>
      <c r="C102" s="30" t="s">
        <v>51</v>
      </c>
      <c r="D102" s="31"/>
      <c r="E102" s="21" t="s">
        <v>53</v>
      </c>
      <c r="F102" s="32"/>
      <c r="G102" s="33">
        <f t="shared" si="14"/>
        <v>45</v>
      </c>
      <c r="H102" s="22">
        <f t="shared" si="15"/>
        <v>0</v>
      </c>
      <c r="I102" s="3"/>
    </row>
    <row r="103" spans="1:9" ht="16" thickTop="1" thickBot="1" x14ac:dyDescent="0.25"/>
    <row r="104" spans="1:9" ht="16" thickTop="1" thickBot="1" x14ac:dyDescent="0.25">
      <c r="A104" s="35" t="s">
        <v>108</v>
      </c>
      <c r="B104" s="36"/>
      <c r="C104" s="36"/>
      <c r="D104" s="36"/>
      <c r="E104" s="36"/>
      <c r="F104" s="34">
        <f>SUM(F11:F102)</f>
        <v>2571</v>
      </c>
      <c r="G104" s="34"/>
      <c r="H104" s="41">
        <f>SUM(H11:H102)</f>
        <v>108155</v>
      </c>
    </row>
    <row r="105" spans="1:9" ht="15" thickTop="1" x14ac:dyDescent="0.2"/>
  </sheetData>
  <mergeCells count="25">
    <mergeCell ref="C17:D17"/>
    <mergeCell ref="C16:D16"/>
    <mergeCell ref="C15:D15"/>
    <mergeCell ref="A104:E104"/>
    <mergeCell ref="A1:H1"/>
    <mergeCell ref="C23:D23"/>
    <mergeCell ref="C29:D29"/>
    <mergeCell ref="C43:D43"/>
    <mergeCell ref="B10:D10"/>
    <mergeCell ref="B22:D22"/>
    <mergeCell ref="B97:D97"/>
    <mergeCell ref="C21:D21"/>
    <mergeCell ref="C20:D20"/>
    <mergeCell ref="C19:D19"/>
    <mergeCell ref="C18:D18"/>
    <mergeCell ref="B9:D9"/>
    <mergeCell ref="B14:D14"/>
    <mergeCell ref="C13:D13"/>
    <mergeCell ref="C12:D12"/>
    <mergeCell ref="C11:D11"/>
    <mergeCell ref="C102:D102"/>
    <mergeCell ref="C101:D101"/>
    <mergeCell ref="C100:D100"/>
    <mergeCell ref="C99:D99"/>
    <mergeCell ref="C98:D98"/>
  </mergeCells>
  <printOptions horizontalCentered="1" verticalCentered="1"/>
  <pageMargins left="0.511811024" right="0.511811024" top="0.78740157499999996" bottom="0.78740157499999996" header="0.31496062000000002" footer="0.31496062000000002"/>
  <pageSetup paperSize="9" scale="4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2025-07-23T22:56:45Z</cp:lastPrinted>
  <dcterms:created xsi:type="dcterms:W3CDTF">2025-07-23T20:06:54Z</dcterms:created>
  <dcterms:modified xsi:type="dcterms:W3CDTF">2025-07-23T23:12:29Z</dcterms:modified>
</cp:coreProperties>
</file>