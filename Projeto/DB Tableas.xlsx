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10BAF08E-3120-DA43-B805-472F9A42D273}" xr6:coauthVersionLast="47" xr6:coauthVersionMax="47" xr10:uidLastSave="{00000000-0000-0000-0000-000000000000}"/>
  <bookViews>
    <workbookView xWindow="0" yWindow="500" windowWidth="57600" windowHeight="3550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23" i="2" l="1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<sst xmlns="http://schemas.openxmlformats.org/spreadsheetml/2006/main" count="1327" uniqueCount="598">
  <si>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</si>
  <si>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</si>
  <si>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</si>
  <si>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</si>
  <si>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</si>
  <si>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</si>
  <si>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</si>
  <si>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</si>
  <si>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</si>
  <si>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</si>
  <si>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</si>
  <si>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</si>
  <si>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</si>
  <si>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</si>
  <si>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</si>
  <si>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</si>
  <si>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</si>
  <si>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</si>
  <si>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</si>
  <si>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</si>
  <si>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</si>
  <si>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</si>
  <si>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</si>
  <si>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</si>
  <si>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</si>
  <si>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</si>
  <si>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</si>
  <si>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</si>
  <si>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</si>
  <si>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</si>
  <si>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</si>
  <si>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</si>
  <si>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</si>
  <si>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</si>
  <si>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</si>
  <si>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</si>
  <si>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</si>
  <si>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</si>
  <si>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</si>
  <si>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</si>
  <si>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</si>
  <si>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</si>
  <si>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</si>
  <si>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</si>
  <si>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</si>
  <si>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</si>
  <si>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</si>
  <si>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</si>
  <si>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</si>
  <si>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</si>
  <si>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</si>
  <si>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</si>
  <si>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</si>
  <si>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</si>
  <si>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</si>
  <si>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</si>
  <si>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</si>
  <si>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</si>
  <si>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</si>
  <si>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</si>
  <si>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</si>
  <si>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</si>
  <si>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</si>
  <si>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</si>
  <si>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</si>
  <si>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</si>
  <si>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</si>
  <si>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</si>
  <si>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</si>
  <si>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</si>
  <si>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</si>
  <si>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</si>
  <si>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</si>
  <si>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</si>
  <si>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</si>
  <si>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</si>
  <si>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</si>
  <si>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</si>
  <si>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</si>
  <si>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</si>
  <si>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</si>
  <si>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</si>
  <si>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</si>
  <si>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</si>
  <si>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</si>
  <si>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</si>
  <si>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</si>
  <si>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</si>
  <si>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</si>
  <si>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</si>
  <si>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</si>
  <si>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</si>
  <si>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</si>
  <si>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</si>
  <si>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</si>
  <si>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</si>
  <si>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</si>
  <si>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</si>
  <si>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</si>
  <si>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</si>
  <si>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</si>
  <si>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</si>
  <si>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</si>
  <si>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</si>
  <si>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</si>
  <si>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</si>
  <si>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</si>
  <si>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</si>
  <si>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</si>
  <si>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</si>
  <si>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</si>
  <si>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</si>
  <si>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</si>
  <si>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</si>
  <si>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</si>
  <si>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</si>
  <si>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</si>
  <si>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</si>
  <si>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</si>
  <si>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</si>
  <si>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</si>
  <si>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</si>
  <si>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</si>
  <si>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</si>
  <si>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</si>
  <si>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</si>
  <si>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</si>
  <si>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</si>
  <si>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</si>
  <si>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</si>
  <si>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</si>
  <si>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</si>
  <si>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</si>
  <si>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</si>
  <si>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</si>
  <si>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</si>
  <si>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</si>
  <si>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</si>
  <si>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</si>
  <si>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</si>
  <si>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</si>
  <si>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</si>
  <si>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</si>
  <si>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</si>
  <si>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</si>
  <si>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</si>
  <si>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</si>
  <si>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</si>
  <si>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</si>
  <si>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</si>
  <si>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</si>
  <si>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</si>
  <si>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</si>
  <si>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</si>
  <si>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</si>
  <si>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</si>
  <si>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</si>
  <si>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</si>
  <si>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</si>
  <si>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</si>
  <si>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</si>
  <si>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</si>
  <si>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</si>
  <si>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</si>
  <si>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</si>
  <si>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</si>
  <si>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</si>
  <si>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</si>
  <si>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</si>
  <si>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</si>
  <si>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</si>
  <si>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</si>
  <si>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</si>
  <si>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</si>
  <si>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</si>
  <si>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</si>
  <si>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</si>
  <si>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</si>
  <si>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</si>
  <si>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</si>
  <si>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</si>
  <si>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</si>
  <si>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</si>
  <si>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</si>
  <si>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</si>
  <si>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</si>
  <si>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</si>
  <si>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</si>
  <si>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</si>
  <si>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</si>
  <si>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</si>
  <si>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</si>
  <si>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</si>
  <si>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</si>
  <si>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</si>
  <si>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</si>
  <si>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</si>
  <si>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</si>
  <si>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</si>
  <si>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</si>
  <si>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</si>
  <si>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</si>
  <si>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</si>
  <si>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</si>
  <si>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</si>
  <si>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</si>
  <si>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</si>
  <si>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</si>
  <si>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</si>
  <si>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</si>
  <si>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</si>
  <si>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</si>
  <si>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</si>
  <si>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</si>
  <si>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</si>
  <si>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</si>
  <si>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</si>
  <si>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</si>
  <si>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</si>
  <si>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</si>
  <si>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</si>
  <si>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</si>
  <si>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</si>
  <si>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</si>
  <si>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</si>
  <si>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</si>
  <si>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</si>
  <si>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</si>
  <si>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</si>
  <si>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</si>
  <si>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</si>
  <si>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</si>
  <si>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</si>
  <si>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</si>
  <si>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</si>
  <si>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</si>
  <si>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</si>
  <si>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</si>
  <si>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</si>
  <si>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</si>
  <si>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</si>
  <si>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</si>
  <si>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</si>
  <si>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</si>
  <si>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</si>
  <si>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</si>
  <si>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</si>
  <si>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</si>
  <si>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</si>
  <si>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</si>
  <si>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</si>
  <si>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</si>
  <si>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</si>
  <si>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</si>
  <si>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</si>
  <si>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</si>
  <si>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</si>
  <si>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</si>
  <si>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</si>
  <si>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</si>
  <si>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</si>
  <si>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</si>
  <si>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</si>
  <si>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</si>
  <si>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</si>
  <si>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</si>
  <si>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</si>
  <si>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</si>
  <si>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</si>
  <si>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</si>
  <si>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</si>
  <si>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</si>
  <si>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</si>
  <si>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</si>
  <si>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</si>
  <si>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</si>
  <si>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</si>
  <si>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</si>
  <si>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</si>
  <si>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</si>
  <si>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</si>
  <si>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</si>
  <si>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</si>
  <si>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</si>
  <si>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</si>
  <si>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</si>
  <si>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</si>
  <si>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</si>
  <si>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</si>
  <si>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</si>
  <si>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</si>
  <si>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</si>
  <si>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</si>
  <si>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</si>
  <si>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</si>
  <si>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</si>
  <si>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</si>
  <si>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</si>
  <si>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</si>
  <si>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</si>
  <si>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</si>
  <si>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</si>
  <si>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</si>
  <si>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</si>
  <si>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</si>
  <si>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</si>
  <si>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</si>
  <si>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</si>
  <si>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</si>
  <si>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</si>
  <si>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</si>
  <si>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</si>
  <si>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`id` int(11) NOT NULL AUTO_INCREMENT,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</si>
  <si>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</si>
  <si>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</si>
  <si>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</si>
  <si>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</si>
  <si>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</si>
  <si>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</si>
  <si>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</si>
  <si>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</si>
  <si>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</si>
  <si>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</si>
  <si>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</si>
  <si>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</si>
  <si>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</si>
  <si>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</si>
  <si>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</si>
  <si>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</si>
  <si>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</si>
  <si>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</si>
  <si>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</si>
  <si>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</si>
  <si>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</si>
  <si>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</si>
  <si>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</si>
  <si>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</si>
  <si>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</si>
  <si>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</si>
  <si>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</si>
  <si>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</si>
  <si>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</si>
  <si>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</si>
  <si>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</si>
  <si>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</si>
  <si>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</si>
  <si>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</si>
  <si>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</si>
  <si>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</si>
  <si>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</si>
  <si>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</si>
  <si>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</si>
  <si>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</si>
  <si>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</si>
  <si>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</si>
  <si>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</si>
  <si>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</si>
  <si>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</si>
  <si>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</si>
  <si>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</si>
  <si>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</si>
  <si>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</si>
  <si>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</si>
  <si>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</si>
  <si>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</si>
  <si>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</si>
  <si>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</si>
  <si>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</si>
  <si>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</si>
  <si>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</si>
  <si>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</si>
  <si>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</si>
  <si>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</si>
  <si>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</si>
  <si>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</si>
  <si>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</si>
  <si>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</si>
  <si>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</si>
  <si>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</si>
  <si>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</si>
  <si>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</si>
  <si>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</si>
  <si>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</si>
  <si>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</si>
  <si>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</si>
  <si>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</si>
  <si>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</si>
  <si>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</si>
  <si>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</si>
  <si>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</si>
  <si>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</si>
  <si>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</si>
  <si>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</si>
  <si>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</si>
  <si>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</si>
  <si>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</si>
  <si>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</si>
  <si>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</si>
  <si>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</si>
  <si>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</si>
  <si>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</si>
  <si>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</si>
  <si>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</si>
  <si>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</si>
  <si>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</si>
  <si>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</si>
  <si>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</si>
  <si>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</si>
  <si>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</si>
  <si>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</si>
  <si>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</si>
  <si>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</si>
  <si>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</si>
  <si>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</si>
  <si>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</si>
  <si>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</si>
  <si>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</si>
  <si>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</si>
  <si>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</si>
  <si>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</si>
  <si>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</si>
  <si>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</si>
  <si>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</si>
  <si>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</si>
  <si>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</si>
  <si>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</si>
  <si>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</si>
  <si>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</si>
  <si>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</si>
  <si>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</si>
  <si>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</si>
  <si>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</si>
  <si>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</si>
  <si>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</si>
  <si>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</si>
  <si>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</si>
  <si>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</si>
  <si>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</si>
  <si>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</si>
  <si>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</si>
  <si>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</si>
  <si>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</si>
  <si>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</si>
  <si>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</si>
  <si>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</si>
  <si>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</si>
  <si>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</si>
  <si>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</si>
  <si>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</si>
  <si>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</si>
  <si>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</si>
  <si>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</si>
  <si>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</si>
  <si>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</si>
  <si>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</si>
  <si>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</si>
  <si>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</si>
  <si>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</si>
  <si>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</si>
  <si>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</si>
  <si>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</si>
  <si>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</si>
  <si>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</si>
  <si>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</si>
  <si>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</si>
  <si>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</si>
  <si>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</si>
  <si>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</si>
  <si>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</si>
  <si>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</si>
  <si>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</si>
  <si>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</si>
  <si>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</si>
  <si>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</si>
  <si>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</si>
  <si>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</si>
  <si>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</si>
  <si>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</si>
  <si>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</si>
  <si>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</si>
  <si>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</si>
  <si>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</si>
  <si>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</si>
  <si>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</si>
  <si>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</si>
  <si>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</si>
  <si>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</si>
  <si>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</si>
  <si>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</si>
  <si>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</si>
  <si>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</si>
  <si>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</si>
  <si>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</si>
  <si>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</si>
  <si>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</si>
  <si>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</si>
  <si>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</si>
  <si>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</si>
  <si>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</si>
  <si>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</si>
  <si>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</si>
  <si>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</si>
  <si>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</si>
  <si>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</si>
  <si>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</si>
  <si>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</si>
  <si>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</si>
  <si>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</si>
  <si>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</si>
  <si>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</si>
  <si>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</si>
  <si>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</si>
  <si>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</si>
  <si>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</si>
  <si>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</si>
  <si>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</si>
  <si>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</si>
  <si>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</si>
  <si>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</si>
  <si>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</si>
  <si>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</si>
  <si>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</si>
  <si>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</si>
  <si>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</si>
  <si>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</si>
  <si>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</si>
  <si>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</si>
  <si>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</si>
  <si>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</si>
  <si>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</si>
  <si>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</si>
  <si>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</si>
  <si>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</si>
  <si>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</si>
  <si>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</si>
  <si>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</si>
  <si>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</si>
  <si>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</si>
  <si>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</si>
  <si>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</si>
  <si>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</si>
  <si>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</si>
  <si>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</si>
  <si>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</si>
  <si>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</si>
  <si>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</si>
  <si>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</si>
  <si>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</si>
  <si>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</si>
  <si>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</si>
  <si>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</si>
  <si>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</si>
  <si>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</si>
  <si>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</si>
  <si>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</si>
  <si>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</si>
  <si>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</si>
  <si>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</si>
  <si>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</si>
  <si>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</si>
  <si>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</si>
  <si>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</si>
  <si>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</si>
  <si>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</si>
  <si>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</si>
  <si>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</si>
  <si>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</si>
  <si>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</si>
  <si>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</si>
  <si>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</si>
  <si>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 xml:space="preserve">  `bsc_pessoa_id` int(11) NOT NULL,</t>
  </si>
  <si>
    <t>Pre HTML</t>
  </si>
  <si>
    <t>Pre SQL</t>
  </si>
  <si>
    <t>SQL SELECT/EDIT</t>
  </si>
  <si>
    <t>Espaços Post</t>
  </si>
  <si>
    <t xml:space="preserve">                                          </t>
  </si>
  <si>
    <t xml:space="preserve">  `ue_funcionam_situacao_id` int(11) DEFAULT NULL,</t>
  </si>
  <si>
    <t xml:space="preserve">  `bsc_zona_id` int(11) DEFAULT NULL,</t>
  </si>
  <si>
    <t xml:space="preserve">  `ue_localizacao_diferenciada_id` int(11) DEFAULT NULL,</t>
  </si>
  <si>
    <t xml:space="preserve">  `bsc_esfera_administrativa_id_dependencia` int(11) DEFAULT NULL,</t>
  </si>
  <si>
    <t xml:space="preserve">  `ue_cat_esc_priv_id` int(11) DEFAULT NULL,</t>
  </si>
  <si>
    <t xml:space="preserve">  `bsc_esfera_administrativa_id_regulam` int(11) DEFAULT NULL,</t>
  </si>
  <si>
    <t xml:space="preserve">  `ue_regulam_situacao_id` int(11) DEFAULT NULL,</t>
  </si>
  <si>
    <t xml:space="preserve">  `ue_ue_vinculada_tipo_id` int(11) DEFAULT NULL,</t>
  </si>
  <si>
    <t xml:space="preserve">  `ue_ue_id_vinculada` int(11) DEFAULT NULL,</t>
  </si>
  <si>
    <t xml:space="preserve">  `regional_cod` varchar(30) DEFAULT NULL,</t>
  </si>
  <si>
    <t xml:space="preserve">  `entidade_superior_acesso` varchar(100) DEFAULT NULL,</t>
  </si>
  <si>
    <t xml:space="preserve">  `ue_infra_local_ocupacao_forma_id` int(11) DEFAULT NULL,</t>
  </si>
  <si>
    <t xml:space="preserve">  `fornece_agua_potavel` tinyint(1) DEFAULT NULL,</t>
  </si>
  <si>
    <t xml:space="preserve">  `sala_aula_qtd` int(11) DEFAULT NULL,</t>
  </si>
  <si>
    <t xml:space="preserve">  `sala_aula_climatizada_qtd` int(11) DEFAULT NULL,</t>
  </si>
  <si>
    <t xml:space="preserve">  `sala_aula_acessibilidade_qtd` int(11) DEFAULT NULL,</t>
  </si>
  <si>
    <t xml:space="preserve">  `internet_banda_larga_velocidade` varchar(50) DEFAULT NULL,</t>
  </si>
  <si>
    <t xml:space="preserve">  `alimentacao_pnae_fnde_oferece` tinyint(1) DEFAULT NULL,</t>
  </si>
  <si>
    <t>ue_</t>
  </si>
  <si>
    <t>ue.</t>
  </si>
  <si>
    <t xml:space="preserve">  `inep_cod` int(11) DEFAULT NULL,</t>
  </si>
  <si>
    <t>$rsRegistroUEIdent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</si>
</sst>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429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417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418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419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420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421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422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423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424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430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413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414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415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416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412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433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434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425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435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426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431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432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427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428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460</v>
      </c>
      <c r="C1" s="30" t="s">
        <v>461</v>
      </c>
      <c r="D1" s="30" t="s">
        <v>463</v>
      </c>
      <c r="E1" s="30" t="s">
        <v>462</v>
      </c>
    </row>
    <row r="2" spans="1:5" x14ac:dyDescent="0.2">
      <c r="A2" s="29">
        <v>1</v>
      </c>
      <c r="B2" s="29" t="s">
        <v>464</v>
      </c>
      <c r="C2" s="29" t="s">
        <v>466</v>
      </c>
      <c r="D2" s="29" t="s">
        <v>465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328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329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330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331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332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333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334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335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336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337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338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339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340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341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342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343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344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345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346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347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348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349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350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351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352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353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354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355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356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357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358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359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360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361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362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363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364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365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366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367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368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369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370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371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372</v>
      </c>
    </row>
    <row r="46" spans="1:6" ht="12" x14ac:dyDescent="0.15">
      <c r="A46" s="19"/>
      <c r="C46" s="19"/>
      <c r="D46" s="20" t="s">
        <v>49</v>
      </c>
      <c r="E46" s="19"/>
      <c r="F46" s="19" t="s">
        <v>373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374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375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376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377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378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379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380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381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382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383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384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385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386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387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388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389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390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391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392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393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394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395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396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397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398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399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400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401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402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403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404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405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406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407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408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409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410</v>
      </c>
    </row>
    <row r="84" spans="1:6" x14ac:dyDescent="0.15">
      <c r="A84" s="19"/>
      <c r="B84" s="19"/>
      <c r="C84" s="19"/>
      <c r="D84" s="19"/>
      <c r="E84" s="19"/>
      <c r="F84" s="19" t="s">
        <v>411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429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478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479</v>
      </c>
    </row>
    <row r="75" spans="1:4" ht="17" x14ac:dyDescent="0.2">
      <c r="A75" s="24"/>
      <c r="B75" s="24"/>
      <c r="C75" s="25"/>
      <c r="D75" s="24" t="s">
        <v>480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417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418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419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420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421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422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423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424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430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468</v>
      </c>
      <c r="C223" s="27" t="s">
        <v>467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470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469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444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416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412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433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434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511</v>
      </c>
    </row>
    <row r="265" spans="1:4" ht="17" x14ac:dyDescent="0.2">
      <c r="A265" s="24">
        <v>187</v>
      </c>
      <c r="B265" s="24"/>
      <c r="C265" s="24"/>
      <c r="D265" s="24" t="s">
        <v>512</v>
      </c>
    </row>
    <row r="266" spans="1:4" ht="17" x14ac:dyDescent="0.2">
      <c r="A266" s="24">
        <v>188</v>
      </c>
      <c r="B266" s="24"/>
      <c r="C266" s="25"/>
      <c r="D266" s="24" t="s">
        <v>513</v>
      </c>
    </row>
    <row r="267" spans="1:4" ht="17" x14ac:dyDescent="0.2">
      <c r="A267" s="24">
        <v>189</v>
      </c>
      <c r="B267" s="24"/>
      <c r="C267" s="25"/>
      <c r="D267" s="24" t="s">
        <v>514</v>
      </c>
    </row>
    <row r="268" spans="1:4" ht="17" x14ac:dyDescent="0.2">
      <c r="A268" s="24">
        <v>190</v>
      </c>
      <c r="B268" s="24"/>
      <c r="C268" s="24"/>
      <c r="D268" s="25" t="s">
        <v>515</v>
      </c>
    </row>
    <row r="269" spans="1:4" ht="17" x14ac:dyDescent="0.2">
      <c r="A269" s="24">
        <v>191</v>
      </c>
      <c r="B269" s="24"/>
      <c r="C269" s="24"/>
      <c r="D269" s="25" t="s">
        <v>516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517</v>
      </c>
    </row>
    <row r="272" spans="1:4" ht="17" x14ac:dyDescent="0.2">
      <c r="A272" s="24">
        <v>194</v>
      </c>
      <c r="B272" s="24"/>
      <c r="C272" s="24"/>
      <c r="D272" s="25" t="s">
        <v>518</v>
      </c>
    </row>
    <row r="273" spans="1:4" ht="17" x14ac:dyDescent="0.2">
      <c r="A273" s="24">
        <v>195</v>
      </c>
      <c r="B273" s="24"/>
      <c r="C273" s="24"/>
      <c r="D273" s="25" t="s">
        <v>519</v>
      </c>
    </row>
    <row r="274" spans="1:4" ht="17" x14ac:dyDescent="0.2">
      <c r="A274" s="24">
        <v>196</v>
      </c>
      <c r="B274" s="24"/>
      <c r="C274" s="24"/>
      <c r="D274" s="25" t="s">
        <v>520</v>
      </c>
    </row>
    <row r="275" spans="1:4" ht="17" x14ac:dyDescent="0.2">
      <c r="A275" s="24">
        <v>197</v>
      </c>
      <c r="B275" s="24"/>
      <c r="C275" s="24"/>
      <c r="D275" s="25" t="s">
        <v>521</v>
      </c>
    </row>
    <row r="276" spans="1:4" ht="17" x14ac:dyDescent="0.2">
      <c r="A276" s="24">
        <v>198</v>
      </c>
      <c r="B276" s="24"/>
      <c r="C276" s="24"/>
      <c r="D276" s="25" t="s">
        <v>522</v>
      </c>
    </row>
    <row r="277" spans="1:4" ht="17" x14ac:dyDescent="0.2">
      <c r="A277" s="24"/>
      <c r="B277" s="24"/>
      <c r="C277" s="24"/>
      <c r="D277" s="25" t="s">
        <v>523</v>
      </c>
    </row>
    <row r="278" spans="1:4" ht="17" x14ac:dyDescent="0.2">
      <c r="A278" s="24"/>
      <c r="B278" s="24"/>
      <c r="C278" s="24"/>
      <c r="D278" s="25" t="s">
        <v>524</v>
      </c>
    </row>
    <row r="279" spans="1:4" ht="17" x14ac:dyDescent="0.2">
      <c r="A279" s="24"/>
      <c r="B279" s="24"/>
      <c r="C279" s="24"/>
      <c r="D279" s="25" t="s">
        <v>525</v>
      </c>
    </row>
    <row r="280" spans="1:4" ht="17" x14ac:dyDescent="0.2">
      <c r="A280" s="24"/>
      <c r="B280" s="24"/>
      <c r="C280" s="24"/>
      <c r="D280" s="25" t="s">
        <v>526</v>
      </c>
    </row>
    <row r="281" spans="1:4" ht="17" x14ac:dyDescent="0.2">
      <c r="A281" s="24"/>
      <c r="B281" s="24"/>
      <c r="C281" s="24"/>
      <c r="D281" s="25" t="s">
        <v>527</v>
      </c>
    </row>
    <row r="282" spans="1:4" ht="17" x14ac:dyDescent="0.2">
      <c r="A282" s="24"/>
      <c r="B282" s="24"/>
      <c r="C282" s="24"/>
      <c r="D282" s="25" t="s">
        <v>503</v>
      </c>
    </row>
    <row r="283" spans="1:4" ht="17" x14ac:dyDescent="0.2">
      <c r="A283" s="24"/>
      <c r="B283" s="24"/>
      <c r="C283" s="24"/>
      <c r="D283" s="25" t="s">
        <v>528</v>
      </c>
    </row>
    <row r="284" spans="1:4" ht="17" x14ac:dyDescent="0.2">
      <c r="A284" s="24"/>
      <c r="B284" s="24"/>
      <c r="C284" s="24"/>
      <c r="D284" s="25" t="s">
        <v>529</v>
      </c>
    </row>
    <row r="285" spans="1:4" ht="17" x14ac:dyDescent="0.2">
      <c r="A285" s="24"/>
      <c r="B285" s="24"/>
      <c r="C285" s="24"/>
      <c r="D285" s="25" t="s">
        <v>530</v>
      </c>
    </row>
    <row r="286" spans="1:4" ht="17" x14ac:dyDescent="0.2">
      <c r="A286" s="24"/>
      <c r="B286" s="24"/>
      <c r="C286" s="24"/>
      <c r="D286" s="25" t="s">
        <v>531</v>
      </c>
    </row>
    <row r="287" spans="1:4" ht="17" x14ac:dyDescent="0.2">
      <c r="A287" s="24"/>
      <c r="B287" s="24"/>
      <c r="C287" s="24"/>
      <c r="D287" s="25" t="s">
        <v>532</v>
      </c>
    </row>
    <row r="288" spans="1:4" ht="17" x14ac:dyDescent="0.2">
      <c r="A288" s="24"/>
      <c r="B288" s="24"/>
      <c r="C288" s="24"/>
      <c r="D288" s="25" t="s">
        <v>533</v>
      </c>
    </row>
    <row r="289" spans="1:4" ht="17" x14ac:dyDescent="0.2">
      <c r="A289" s="24"/>
      <c r="B289" s="24"/>
      <c r="C289" s="24"/>
      <c r="D289" s="25" t="s">
        <v>534</v>
      </c>
    </row>
    <row r="290" spans="1:4" ht="17" x14ac:dyDescent="0.2">
      <c r="A290" s="24"/>
      <c r="B290" s="24"/>
      <c r="C290" s="24"/>
      <c r="D290" s="25" t="s">
        <v>535</v>
      </c>
    </row>
    <row r="291" spans="1:4" ht="17" x14ac:dyDescent="0.2">
      <c r="A291" s="24"/>
      <c r="B291" s="24"/>
      <c r="C291" s="24"/>
      <c r="D291" s="25" t="s">
        <v>536</v>
      </c>
    </row>
    <row r="292" spans="1:4" ht="17" x14ac:dyDescent="0.2">
      <c r="A292" s="24"/>
      <c r="B292" s="24"/>
      <c r="C292" s="24"/>
      <c r="D292" s="25" t="s">
        <v>537</v>
      </c>
    </row>
    <row r="293" spans="1:4" ht="17" x14ac:dyDescent="0.2">
      <c r="A293" s="24"/>
      <c r="B293" s="24"/>
      <c r="C293" s="24"/>
      <c r="D293" s="25" t="s">
        <v>538</v>
      </c>
    </row>
    <row r="294" spans="1:4" ht="17" x14ac:dyDescent="0.2">
      <c r="A294" s="24"/>
      <c r="B294" s="24"/>
      <c r="C294" s="24"/>
      <c r="D294" s="25" t="s">
        <v>539</v>
      </c>
    </row>
    <row r="295" spans="1:4" ht="17" x14ac:dyDescent="0.2">
      <c r="A295" s="24"/>
      <c r="B295" s="24"/>
      <c r="C295" s="24"/>
      <c r="D295" s="25" t="s">
        <v>540</v>
      </c>
    </row>
    <row r="296" spans="1:4" ht="17" x14ac:dyDescent="0.2">
      <c r="A296" s="24"/>
      <c r="B296" s="24"/>
      <c r="C296" s="24"/>
      <c r="D296" s="25" t="s">
        <v>541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483</v>
      </c>
      <c r="D320" s="25"/>
    </row>
    <row r="321" spans="1:4" ht="17" x14ac:dyDescent="0.2">
      <c r="A321" s="24"/>
      <c r="B321" s="24"/>
      <c r="C321" s="24"/>
      <c r="D321" s="25" t="s">
        <v>481</v>
      </c>
    </row>
    <row r="322" spans="1:4" ht="17" x14ac:dyDescent="0.2">
      <c r="A322" s="24"/>
      <c r="B322" s="24"/>
      <c r="C322" s="24"/>
      <c r="D322" s="25" t="s">
        <v>482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425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436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435</v>
      </c>
      <c r="D331" s="26"/>
    </row>
    <row r="332" spans="1:4" ht="17" x14ac:dyDescent="0.2">
      <c r="A332" s="24"/>
      <c r="B332" s="24"/>
      <c r="C332" s="27" t="s">
        <v>487</v>
      </c>
      <c r="D332" s="35"/>
    </row>
    <row r="333" spans="1:4" ht="51" x14ac:dyDescent="0.2">
      <c r="A333" s="24"/>
      <c r="B333" s="24" t="s">
        <v>471</v>
      </c>
      <c r="C333" s="27" t="s">
        <v>484</v>
      </c>
    </row>
    <row r="334" spans="1:4" ht="34" x14ac:dyDescent="0.2">
      <c r="A334" s="24">
        <v>152</v>
      </c>
      <c r="B334" s="24" t="s">
        <v>136</v>
      </c>
      <c r="C334" s="27" t="s">
        <v>491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492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506</v>
      </c>
      <c r="D340" s="26"/>
    </row>
    <row r="341" spans="1:4" ht="51" x14ac:dyDescent="0.2">
      <c r="A341" s="24"/>
      <c r="B341" s="34" t="s">
        <v>472</v>
      </c>
      <c r="C341" s="27" t="s">
        <v>485</v>
      </c>
      <c r="D341" s="26"/>
    </row>
    <row r="342" spans="1:4" ht="17" x14ac:dyDescent="0.2">
      <c r="A342" s="24"/>
      <c r="B342" s="34" t="s">
        <v>486</v>
      </c>
      <c r="C342" s="27" t="s">
        <v>494</v>
      </c>
      <c r="D342" s="26"/>
    </row>
    <row r="343" spans="1:4" ht="17" x14ac:dyDescent="0.2">
      <c r="A343" s="24"/>
      <c r="B343" s="34"/>
      <c r="C343" s="27" t="s">
        <v>504</v>
      </c>
      <c r="D343" s="26"/>
    </row>
    <row r="344" spans="1:4" ht="17" x14ac:dyDescent="0.2">
      <c r="A344" s="24"/>
      <c r="B344" s="34"/>
      <c r="C344" s="27" t="s">
        <v>493</v>
      </c>
      <c r="D344" s="26"/>
    </row>
    <row r="345" spans="1:4" ht="17" x14ac:dyDescent="0.2">
      <c r="A345" s="24"/>
      <c r="B345" s="34"/>
      <c r="C345" s="27" t="s">
        <v>495</v>
      </c>
      <c r="D345" s="26"/>
    </row>
    <row r="346" spans="1:4" ht="17" x14ac:dyDescent="0.2">
      <c r="A346" s="24"/>
      <c r="B346" s="34"/>
      <c r="C346" s="27" t="s">
        <v>505</v>
      </c>
      <c r="D346" s="26"/>
    </row>
    <row r="347" spans="1:4" ht="17" x14ac:dyDescent="0.2">
      <c r="A347" s="24"/>
      <c r="B347" s="34"/>
      <c r="C347" s="36" t="s">
        <v>488</v>
      </c>
      <c r="D347" s="26"/>
    </row>
    <row r="348" spans="1:4" x14ac:dyDescent="0.2">
      <c r="A348" s="24"/>
      <c r="B348" s="33" t="s">
        <v>473</v>
      </c>
      <c r="C348" s="37" t="s">
        <v>489</v>
      </c>
      <c r="D348" s="26"/>
    </row>
    <row r="349" spans="1:4" ht="17" x14ac:dyDescent="0.2">
      <c r="A349" s="24"/>
      <c r="B349" s="24"/>
      <c r="C349" s="27" t="s">
        <v>490</v>
      </c>
      <c r="D349" s="26"/>
    </row>
    <row r="350" spans="1:4" ht="17" x14ac:dyDescent="0.2">
      <c r="A350" s="24"/>
      <c r="B350" s="24"/>
      <c r="C350" s="27" t="s">
        <v>496</v>
      </c>
      <c r="D350" s="26"/>
    </row>
    <row r="351" spans="1:4" ht="17" x14ac:dyDescent="0.2">
      <c r="A351" s="24"/>
      <c r="B351" s="24"/>
      <c r="C351" s="27" t="s">
        <v>497</v>
      </c>
      <c r="D351" s="26"/>
    </row>
    <row r="352" spans="1:4" ht="17" x14ac:dyDescent="0.2">
      <c r="A352" s="24"/>
      <c r="B352" s="24"/>
      <c r="C352" s="27" t="s">
        <v>498</v>
      </c>
      <c r="D352" s="31"/>
    </row>
    <row r="353" spans="1:4" ht="17" x14ac:dyDescent="0.2">
      <c r="A353" s="24"/>
      <c r="B353" s="24"/>
      <c r="C353" s="27" t="s">
        <v>499</v>
      </c>
      <c r="D353" s="31"/>
    </row>
    <row r="354" spans="1:4" ht="17" x14ac:dyDescent="0.2">
      <c r="A354" s="24"/>
      <c r="B354" s="24"/>
      <c r="C354" s="27" t="s">
        <v>500</v>
      </c>
      <c r="D354" s="31"/>
    </row>
    <row r="355" spans="1:4" ht="34" x14ac:dyDescent="0.2">
      <c r="A355" s="24"/>
      <c r="B355" s="24" t="s">
        <v>475</v>
      </c>
      <c r="C355" s="27" t="s">
        <v>501</v>
      </c>
      <c r="D355" s="26"/>
    </row>
    <row r="356" spans="1:4" ht="17" x14ac:dyDescent="0.2">
      <c r="A356" s="24"/>
      <c r="B356" s="24" t="s">
        <v>476</v>
      </c>
      <c r="C356" s="31"/>
      <c r="D356" s="26" t="s">
        <v>474</v>
      </c>
    </row>
    <row r="357" spans="1:4" ht="17" x14ac:dyDescent="0.2">
      <c r="A357" s="24"/>
      <c r="B357" s="24"/>
      <c r="C357" s="27" t="s">
        <v>502</v>
      </c>
      <c r="D357" s="26"/>
    </row>
    <row r="358" spans="1:4" ht="17" x14ac:dyDescent="0.2">
      <c r="A358" s="24"/>
      <c r="B358" s="24"/>
      <c r="C358" s="27" t="s">
        <v>503</v>
      </c>
      <c r="D358" s="26"/>
    </row>
    <row r="359" spans="1:4" ht="17" x14ac:dyDescent="0.2">
      <c r="A359" s="24"/>
      <c r="B359" s="24"/>
      <c r="C359" s="31"/>
      <c r="D359" s="26" t="s">
        <v>477</v>
      </c>
    </row>
    <row r="360" spans="1:4" ht="17" x14ac:dyDescent="0.2">
      <c r="A360" s="24"/>
      <c r="B360" s="24"/>
      <c r="C360" s="27" t="s">
        <v>507</v>
      </c>
      <c r="D360" s="26"/>
    </row>
    <row r="361" spans="1:4" ht="17" x14ac:dyDescent="0.2">
      <c r="A361" s="24"/>
      <c r="B361" s="24"/>
      <c r="C361" s="27" t="s">
        <v>508</v>
      </c>
      <c r="D361" s="26"/>
    </row>
    <row r="362" spans="1:4" ht="17" x14ac:dyDescent="0.2">
      <c r="A362" s="24"/>
      <c r="B362" s="24"/>
      <c r="C362" s="27" t="s">
        <v>509</v>
      </c>
      <c r="D362" s="26"/>
    </row>
    <row r="363" spans="1:4" ht="17" x14ac:dyDescent="0.2">
      <c r="A363" s="24"/>
      <c r="B363" s="32"/>
      <c r="C363" s="27" t="s">
        <v>542</v>
      </c>
      <c r="D363" s="26"/>
    </row>
    <row r="364" spans="1:4" ht="17" x14ac:dyDescent="0.2">
      <c r="A364" s="24"/>
      <c r="B364" s="24" t="s">
        <v>510</v>
      </c>
      <c r="C364" s="31"/>
      <c r="D364" s="26" t="s">
        <v>477</v>
      </c>
    </row>
    <row r="365" spans="1:4" ht="17" x14ac:dyDescent="0.2">
      <c r="A365" s="24"/>
      <c r="B365" s="24"/>
      <c r="C365" s="31"/>
      <c r="D365" s="26" t="s">
        <v>543</v>
      </c>
    </row>
    <row r="366" spans="1:4" ht="17" x14ac:dyDescent="0.2">
      <c r="A366" s="24"/>
      <c r="B366" s="24"/>
      <c r="C366" s="27" t="s">
        <v>544</v>
      </c>
      <c r="D366" s="26"/>
    </row>
    <row r="367" spans="1:4" ht="17" x14ac:dyDescent="0.2">
      <c r="A367" s="24"/>
      <c r="B367" s="24"/>
      <c r="C367" s="27" t="s">
        <v>545</v>
      </c>
      <c r="D367" s="26"/>
    </row>
    <row r="368" spans="1:4" ht="17" x14ac:dyDescent="0.2">
      <c r="A368" s="24"/>
      <c r="B368" s="24"/>
      <c r="C368" s="27" t="s">
        <v>548</v>
      </c>
      <c r="D368" s="26"/>
    </row>
    <row r="369" spans="1:4" ht="17" x14ac:dyDescent="0.2">
      <c r="A369" s="24"/>
      <c r="B369" s="24"/>
      <c r="C369" s="27" t="s">
        <v>549</v>
      </c>
      <c r="D369" s="26"/>
    </row>
    <row r="370" spans="1:4" ht="17" x14ac:dyDescent="0.2">
      <c r="A370" s="24"/>
      <c r="B370" s="24"/>
      <c r="C370" s="27" t="s">
        <v>546</v>
      </c>
      <c r="D370" s="26"/>
    </row>
    <row r="371" spans="1:4" ht="17" x14ac:dyDescent="0.2">
      <c r="A371" s="24"/>
      <c r="B371" s="24"/>
      <c r="C371" s="27" t="s">
        <v>547</v>
      </c>
      <c r="D371" s="26"/>
    </row>
    <row r="372" spans="1:4" ht="17" x14ac:dyDescent="0.2">
      <c r="A372" s="24"/>
      <c r="B372" s="24"/>
      <c r="C372" s="27" t="s">
        <v>550</v>
      </c>
      <c r="D372" s="26"/>
    </row>
    <row r="373" spans="1:4" ht="17" x14ac:dyDescent="0.2">
      <c r="A373" s="24"/>
      <c r="B373" s="24"/>
      <c r="C373" s="27" t="s">
        <v>551</v>
      </c>
      <c r="D373" s="26"/>
    </row>
    <row r="374" spans="1:4" ht="17" x14ac:dyDescent="0.2">
      <c r="A374" s="24"/>
      <c r="B374" s="24"/>
      <c r="C374" s="27" t="s">
        <v>552</v>
      </c>
      <c r="D374" s="26"/>
    </row>
    <row r="375" spans="1:4" ht="17" x14ac:dyDescent="0.2">
      <c r="A375" s="24"/>
      <c r="B375" s="24"/>
      <c r="C375" s="27" t="s">
        <v>553</v>
      </c>
      <c r="D375" s="26"/>
    </row>
    <row r="376" spans="1:4" ht="17" x14ac:dyDescent="0.2">
      <c r="A376" s="24"/>
      <c r="B376" s="24"/>
      <c r="C376" s="27" t="s">
        <v>554</v>
      </c>
      <c r="D376" s="26"/>
    </row>
    <row r="377" spans="1:4" ht="17" x14ac:dyDescent="0.2">
      <c r="A377" s="24"/>
      <c r="B377" s="24"/>
      <c r="C377" s="27" t="s">
        <v>555</v>
      </c>
      <c r="D377" s="26"/>
    </row>
    <row r="378" spans="1:4" ht="17" x14ac:dyDescent="0.2">
      <c r="A378" s="24"/>
      <c r="B378" s="24"/>
      <c r="C378" s="27" t="s">
        <v>556</v>
      </c>
      <c r="D378" s="26"/>
    </row>
    <row r="379" spans="1:4" ht="17" x14ac:dyDescent="0.2">
      <c r="A379" s="24"/>
      <c r="B379" s="24"/>
      <c r="C379" s="27" t="s">
        <v>557</v>
      </c>
      <c r="D379" s="26"/>
    </row>
    <row r="380" spans="1:4" ht="17" x14ac:dyDescent="0.2">
      <c r="A380" s="24"/>
      <c r="B380" s="24"/>
      <c r="C380" s="27" t="s">
        <v>559</v>
      </c>
      <c r="D380" s="26"/>
    </row>
    <row r="381" spans="1:4" ht="17" x14ac:dyDescent="0.2">
      <c r="A381" s="24"/>
      <c r="B381" s="24"/>
      <c r="C381" s="27" t="s">
        <v>558</v>
      </c>
      <c r="D381" s="26"/>
    </row>
    <row r="382" spans="1:4" ht="17" x14ac:dyDescent="0.2">
      <c r="A382" s="24"/>
      <c r="B382" s="24"/>
      <c r="C382" s="27" t="s">
        <v>560</v>
      </c>
      <c r="D382" s="26"/>
    </row>
    <row r="383" spans="1:4" ht="17" x14ac:dyDescent="0.2">
      <c r="A383" s="24"/>
      <c r="B383" s="24"/>
      <c r="C383" s="27" t="s">
        <v>561</v>
      </c>
      <c r="D383" s="26"/>
    </row>
    <row r="384" spans="1:4" ht="17" x14ac:dyDescent="0.2">
      <c r="A384" s="24"/>
      <c r="B384" s="24"/>
      <c r="C384" s="27" t="s">
        <v>563</v>
      </c>
      <c r="D384" s="26"/>
    </row>
    <row r="385" spans="1:4" ht="17" x14ac:dyDescent="0.2">
      <c r="A385" s="24"/>
      <c r="B385" s="24"/>
      <c r="C385" s="27" t="s">
        <v>562</v>
      </c>
      <c r="D385" s="26"/>
    </row>
    <row r="386" spans="1:4" ht="17" x14ac:dyDescent="0.2">
      <c r="A386" s="24"/>
      <c r="B386" s="24"/>
      <c r="C386" s="27" t="s">
        <v>565</v>
      </c>
      <c r="D386" s="26"/>
    </row>
    <row r="387" spans="1:4" ht="17" x14ac:dyDescent="0.2">
      <c r="A387" s="24"/>
      <c r="B387" s="24"/>
      <c r="C387" s="27" t="s">
        <v>566</v>
      </c>
      <c r="D387" s="26"/>
    </row>
    <row r="388" spans="1:4" ht="17" x14ac:dyDescent="0.2">
      <c r="A388" s="24"/>
      <c r="B388" s="24"/>
      <c r="C388" s="27" t="s">
        <v>564</v>
      </c>
      <c r="D388" s="26"/>
    </row>
    <row r="389" spans="1:4" ht="17" x14ac:dyDescent="0.2">
      <c r="A389" s="24"/>
      <c r="B389" s="24"/>
      <c r="C389" s="27" t="s">
        <v>567</v>
      </c>
      <c r="D389" s="26"/>
    </row>
    <row r="390" spans="1:4" ht="17" x14ac:dyDescent="0.2">
      <c r="A390" s="24"/>
      <c r="B390" s="24"/>
      <c r="C390" s="27" t="s">
        <v>569</v>
      </c>
      <c r="D390" s="26"/>
    </row>
    <row r="391" spans="1:4" ht="17" x14ac:dyDescent="0.2">
      <c r="A391" s="24"/>
      <c r="B391" s="24"/>
      <c r="C391" s="27" t="s">
        <v>568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437</v>
      </c>
      <c r="D423" s="26"/>
    </row>
    <row r="424" spans="1:4" ht="17" x14ac:dyDescent="0.2">
      <c r="A424" s="24">
        <v>205</v>
      </c>
      <c r="B424" s="24"/>
      <c r="C424" s="27" t="s">
        <v>438</v>
      </c>
      <c r="D424" s="26"/>
    </row>
    <row r="425" spans="1:4" ht="17" x14ac:dyDescent="0.2">
      <c r="A425" s="24">
        <v>206</v>
      </c>
      <c r="B425" s="24"/>
      <c r="C425" s="27" t="s">
        <v>439</v>
      </c>
      <c r="D425" s="24"/>
    </row>
    <row r="426" spans="1:4" ht="17" x14ac:dyDescent="0.2">
      <c r="A426" s="24">
        <v>207</v>
      </c>
      <c r="B426" s="24"/>
      <c r="C426" s="27" t="s">
        <v>446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447</v>
      </c>
      <c r="D428" s="24"/>
    </row>
    <row r="429" spans="1:4" ht="17" x14ac:dyDescent="0.2">
      <c r="A429" s="24">
        <v>210</v>
      </c>
      <c r="B429" s="24"/>
      <c r="C429" s="27" t="s">
        <v>440</v>
      </c>
      <c r="D429" s="24"/>
    </row>
    <row r="430" spans="1:4" ht="17" x14ac:dyDescent="0.2">
      <c r="A430" s="24">
        <v>211</v>
      </c>
      <c r="B430" s="24"/>
      <c r="C430" s="27" t="s">
        <v>448</v>
      </c>
      <c r="D430" s="24"/>
    </row>
    <row r="431" spans="1:4" ht="17" x14ac:dyDescent="0.2">
      <c r="A431" s="24">
        <v>212</v>
      </c>
      <c r="B431" s="24"/>
      <c r="C431" s="27" t="s">
        <v>441</v>
      </c>
      <c r="D431" s="24"/>
    </row>
    <row r="432" spans="1:4" ht="17" x14ac:dyDescent="0.2">
      <c r="A432" s="24">
        <v>213</v>
      </c>
      <c r="B432" s="24"/>
      <c r="C432" s="27" t="s">
        <v>442</v>
      </c>
      <c r="D432" s="24"/>
    </row>
    <row r="433" spans="1:4" ht="17" x14ac:dyDescent="0.2">
      <c r="A433" s="24">
        <v>214</v>
      </c>
      <c r="B433" s="24"/>
      <c r="C433" s="27" t="s">
        <v>449</v>
      </c>
      <c r="D433" s="24"/>
    </row>
    <row r="434" spans="1:4" ht="17" x14ac:dyDescent="0.2">
      <c r="A434" s="24">
        <v>215</v>
      </c>
      <c r="B434" s="24"/>
      <c r="C434" s="27" t="s">
        <v>443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450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451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452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453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454</v>
      </c>
      <c r="D444" s="24"/>
    </row>
    <row r="445" spans="1:4" ht="17" x14ac:dyDescent="0.2">
      <c r="A445" s="24">
        <v>221</v>
      </c>
      <c r="B445" s="24"/>
      <c r="C445" s="27" t="s">
        <v>445</v>
      </c>
      <c r="D445" s="24"/>
    </row>
    <row r="446" spans="1:4" ht="17" x14ac:dyDescent="0.2">
      <c r="A446" s="24"/>
      <c r="B446" s="24"/>
      <c r="C446" s="27" t="s">
        <v>455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456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457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458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459</v>
      </c>
      <c r="D454" s="24"/>
    </row>
    <row r="455" spans="1:4" ht="17" x14ac:dyDescent="0.2">
      <c r="A455" s="24">
        <v>226</v>
      </c>
      <c r="B455" s="24" t="s">
        <v>150</v>
      </c>
      <c r="C455" s="25" t="s">
        <v>426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431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432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427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428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topLeftCell="O1" zoomScale="120" zoomScaleNormal="120" workbookViewId="0">
      <selection activeCell="P27" sqref="P5:P27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47" t="s">
        <v>327</v>
      </c>
      <c r="B1" s="47"/>
      <c r="C1" s="47"/>
      <c r="D1" s="47"/>
      <c r="E1" s="47"/>
      <c r="F1" s="47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43" t="s">
        <v>125</v>
      </c>
      <c r="B3" s="43" t="s">
        <v>571</v>
      </c>
      <c r="C3" s="41" t="s">
        <v>572</v>
      </c>
      <c r="D3" s="43" t="s">
        <v>313</v>
      </c>
      <c r="E3" s="43" t="s">
        <v>318</v>
      </c>
      <c r="F3" s="43" t="s">
        <v>319</v>
      </c>
      <c r="G3" s="43" t="s">
        <v>314</v>
      </c>
      <c r="H3" s="43" t="s">
        <v>315</v>
      </c>
      <c r="I3" s="43" t="s">
        <v>316</v>
      </c>
      <c r="J3" s="43" t="s">
        <v>317</v>
      </c>
      <c r="K3" s="43" t="s">
        <v>320</v>
      </c>
      <c r="L3" s="41" t="s">
        <v>574</v>
      </c>
      <c r="M3" s="41" t="s">
        <v>573</v>
      </c>
      <c r="N3" s="38" t="s">
        <v>325</v>
      </c>
      <c r="O3" s="43" t="s">
        <v>321</v>
      </c>
      <c r="P3" s="43" t="s">
        <v>322</v>
      </c>
      <c r="Q3" s="43" t="s">
        <v>324</v>
      </c>
      <c r="R3" s="43" t="s">
        <v>323</v>
      </c>
      <c r="S3" s="45" t="s">
        <v>326</v>
      </c>
    </row>
    <row r="4" spans="1:19" s="39" customFormat="1" ht="16" customHeight="1" thickBot="1" x14ac:dyDescent="0.25">
      <c r="A4" s="44"/>
      <c r="B4" s="44"/>
      <c r="C4" s="42"/>
      <c r="D4" s="44"/>
      <c r="E4" s="44"/>
      <c r="F4" s="44"/>
      <c r="G4" s="44"/>
      <c r="H4" s="44"/>
      <c r="I4" s="44"/>
      <c r="J4" s="44"/>
      <c r="K4" s="44"/>
      <c r="L4" s="42"/>
      <c r="M4" s="42"/>
      <c r="N4" s="40" t="s">
        <v>597</v>
      </c>
      <c r="O4" s="44"/>
      <c r="P4" s="44"/>
      <c r="Q4" s="44"/>
      <c r="R4" s="44"/>
      <c r="S4" s="46"/>
    </row>
    <row r="5" spans="1:19" ht="17" thickTop="1" x14ac:dyDescent="0.2">
      <c r="A5" s="13">
        <v>1</v>
      </c>
      <c r="B5" s="17" t="s">
        <v>594</v>
      </c>
      <c r="C5" s="17" t="s">
        <v>595</v>
      </c>
      <c r="D5" s="17" t="s">
        <v>312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575</v>
      </c>
      <c r="M5" s="13" t="str">
        <f>CONCATENATE(C5,G5,",")</f>
        <v>ue.id,</v>
      </c>
      <c r="N5" s="13" t="str">
        <f>CONCATENATE(N$4,"['",G5,"'] = '';")</f>
        <v>$rsRegistroUEIdent['id']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$rsRegistroUEIdent['id'],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594</v>
      </c>
      <c r="C6" s="17" t="s">
        <v>595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575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$rsRegistroUEIdent['status']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$rsRegistroUEIdent['status'],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594</v>
      </c>
      <c r="C7" s="17" t="s">
        <v>595</v>
      </c>
      <c r="D7" s="17" t="s">
        <v>311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575</v>
      </c>
      <c r="M7" s="9" t="str">
        <f t="shared" si="6"/>
        <v>ue.dt_cadastro,</v>
      </c>
      <c r="N7" s="9" t="str">
        <f t="shared" si="7"/>
        <v>$rsRegistroUEIdent['dt_cadastro'] = '';</v>
      </c>
      <c r="O7" s="9" t="str">
        <f t="shared" si="8"/>
        <v>'name' =&gt; 'ue_dt_cadastro',    'id' =&gt; 'ue_dt_cadastro',    'maxlength' =&gt; ,    'value' =&gt; $rsRegistroUEIdent['dt_cadastro'],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594</v>
      </c>
      <c r="C8" s="17" t="s">
        <v>595</v>
      </c>
      <c r="D8" s="17" t="s">
        <v>570</v>
      </c>
      <c r="E8" s="17"/>
      <c r="F8" s="17"/>
      <c r="G8" s="9" t="str">
        <f t="shared" si="0"/>
        <v>bsc_pessoa_id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ue_bsc_pessoa_id, </v>
      </c>
      <c r="L8" s="9" t="s">
        <v>575</v>
      </c>
      <c r="M8" s="9" t="str">
        <f t="shared" si="6"/>
        <v>ue.bsc_pessoa_id,</v>
      </c>
      <c r="N8" s="9" t="str">
        <f t="shared" si="7"/>
        <v>$rsRegistroUEIdent['bsc_pessoa_id'] = '';</v>
      </c>
      <c r="O8" s="9" t="str">
        <f t="shared" si="8"/>
        <v>'name' =&gt; 'ue_bsc_pessoa_id',    'id' =&gt; 'ue_bsc_pessoa_id',    'maxlength' =&gt; 11,    'value' =&gt; $rsRegistroUEIdent['bsc_pessoa_id'],    'required' =&gt; true</v>
      </c>
      <c r="P8" s="13" t="str">
        <f t="shared" si="9"/>
        <v>$bsc_pessoa_id                            = strip_tags(@$_POST['ue_bsc_pessoa_id']?: '');</v>
      </c>
      <c r="Q8" s="9" t="str">
        <f t="shared" si="10"/>
        <v>bsc_pessoa_id = ?,</v>
      </c>
      <c r="R8" s="9" t="str">
        <f t="shared" si="2"/>
        <v>bsc_pessoa_id,</v>
      </c>
      <c r="S8" s="10" t="str">
        <f t="shared" si="3"/>
        <v>$stmt-&gt;bindValue(4, $bsc_pessoa_id?: NULL);</v>
      </c>
    </row>
    <row r="9" spans="1:19" x14ac:dyDescent="0.2">
      <c r="A9" s="9">
        <v>5</v>
      </c>
      <c r="B9" s="17" t="s">
        <v>594</v>
      </c>
      <c r="C9" s="17" t="s">
        <v>595</v>
      </c>
      <c r="D9" s="17" t="s">
        <v>596</v>
      </c>
      <c r="E9" s="17"/>
      <c r="F9" s="17"/>
      <c r="G9" s="9" t="str">
        <f t="shared" si="0"/>
        <v>inep_cod</v>
      </c>
      <c r="H9" s="9" t="str">
        <f t="shared" si="4"/>
        <v>int(11)</v>
      </c>
      <c r="I9" s="9" t="str">
        <f t="shared" si="1"/>
        <v>11</v>
      </c>
      <c r="J9" s="9" t="str">
        <f t="shared" si="11"/>
        <v>false</v>
      </c>
      <c r="K9" s="9" t="str">
        <f t="shared" si="5"/>
        <v xml:space="preserve">ue_inep_cod, </v>
      </c>
      <c r="L9" s="9" t="s">
        <v>575</v>
      </c>
      <c r="M9" s="9" t="str">
        <f t="shared" si="6"/>
        <v>ue.inep_cod,</v>
      </c>
      <c r="N9" s="9" t="str">
        <f t="shared" si="7"/>
        <v>$rsRegistroUEIdent['inep_cod'] = '';</v>
      </c>
      <c r="O9" s="9" t="str">
        <f t="shared" si="8"/>
        <v>'name' =&gt; 'ue_inep_cod',    'id' =&gt; 'ue_inep_cod',    'maxlength' =&gt; 11,    'value' =&gt; $rsRegistroUEIdent['inep_cod'],    'required' =&gt; false</v>
      </c>
      <c r="P9" s="13" t="str">
        <f t="shared" si="9"/>
        <v>$inep_cod                                 = ucwords(strtolower(trim(strip_tags(@$_POST['ue_inep_cod']?: ''))));</v>
      </c>
      <c r="Q9" s="9" t="str">
        <f t="shared" si="10"/>
        <v>inep_cod = ?,</v>
      </c>
      <c r="R9" s="9" t="str">
        <f t="shared" si="2"/>
        <v>inep_cod,</v>
      </c>
      <c r="S9" s="10" t="str">
        <f t="shared" si="3"/>
        <v>$stmt-&gt;bindValue(5, $inep_cod);</v>
      </c>
    </row>
    <row r="10" spans="1:19" x14ac:dyDescent="0.2">
      <c r="A10" s="9">
        <v>6</v>
      </c>
      <c r="B10" s="17" t="s">
        <v>594</v>
      </c>
      <c r="C10" s="17" t="s">
        <v>595</v>
      </c>
      <c r="D10" s="17" t="s">
        <v>576</v>
      </c>
      <c r="E10" s="17"/>
      <c r="F10" s="17"/>
      <c r="G10" s="9" t="str">
        <f t="shared" si="0"/>
        <v>ue_funcionam_situacao_id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false</v>
      </c>
      <c r="K10" s="9" t="str">
        <f t="shared" si="5"/>
        <v xml:space="preserve">ue_ue_funcionam_situacao_id, </v>
      </c>
      <c r="L10" s="9" t="s">
        <v>575</v>
      </c>
      <c r="M10" s="9" t="str">
        <f t="shared" si="6"/>
        <v>ue.ue_funcionam_situacao_id,</v>
      </c>
      <c r="N10" s="9" t="str">
        <f t="shared" si="7"/>
        <v>$rsRegistroUEIdent['ue_funcionam_situacao_id'] = '';</v>
      </c>
      <c r="O10" s="9" t="str">
        <f t="shared" si="8"/>
        <v>'name' =&gt; 'ue_ue_funcionam_situacao_id',    'id' =&gt; 'ue_ue_funcionam_situacao_id',    'maxlength' =&gt; 11,    'value' =&gt; $rsRegistroUEIdent['ue_funcionam_situacao_id'],    'required' =&gt; false</v>
      </c>
      <c r="P10" s="13" t="str">
        <f t="shared" si="9"/>
        <v>$ue_funcionam_situacao_id                 = strip_tags(@$_POST['ue_ue_funcionam_situacao_id']?: '');</v>
      </c>
      <c r="Q10" s="9" t="str">
        <f t="shared" si="10"/>
        <v>ue_funcionam_situacao_id = ?,</v>
      </c>
      <c r="R10" s="9" t="str">
        <f t="shared" si="2"/>
        <v>ue_funcionam_situacao_id,</v>
      </c>
      <c r="S10" s="10" t="str">
        <f t="shared" si="3"/>
        <v>$stmt-&gt;bindValue(6, $ue_funcionam_situacao_id?: NULL);</v>
      </c>
    </row>
    <row r="11" spans="1:19" x14ac:dyDescent="0.2">
      <c r="A11" s="9">
        <v>7</v>
      </c>
      <c r="B11" s="17" t="s">
        <v>594</v>
      </c>
      <c r="C11" s="17" t="s">
        <v>595</v>
      </c>
      <c r="D11" s="17" t="s">
        <v>577</v>
      </c>
      <c r="E11" s="17"/>
      <c r="F11" s="17"/>
      <c r="G11" s="9" t="str">
        <f t="shared" si="0"/>
        <v>bsc_zona_id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ue_bsc_zona_id, </v>
      </c>
      <c r="L11" s="9" t="s">
        <v>575</v>
      </c>
      <c r="M11" s="9" t="str">
        <f t="shared" si="6"/>
        <v>ue.bsc_zona_id,</v>
      </c>
      <c r="N11" s="9" t="str">
        <f t="shared" si="7"/>
        <v>$rsRegistroUEIdent['bsc_zona_id'] = '';</v>
      </c>
      <c r="O11" s="9" t="str">
        <f t="shared" si="8"/>
        <v>'name' =&gt; 'ue_bsc_zona_id',    'id' =&gt; 'ue_bsc_zona_id',    'maxlength' =&gt; 11,    'value' =&gt; $rsRegistroUEIdent['bsc_zona_id'],    'required' =&gt; false</v>
      </c>
      <c r="P11" s="13" t="str">
        <f t="shared" si="9"/>
        <v>$bsc_zona_id                              = strip_tags(@$_POST['ue_bsc_zona_id']?: '');</v>
      </c>
      <c r="Q11" s="9" t="str">
        <f t="shared" si="10"/>
        <v>bsc_zona_id = ?,</v>
      </c>
      <c r="R11" s="9" t="str">
        <f t="shared" si="2"/>
        <v>bsc_zona_id,</v>
      </c>
      <c r="S11" s="10" t="str">
        <f t="shared" si="3"/>
        <v>$stmt-&gt;bindValue(7, $bsc_zona_id?: NULL);</v>
      </c>
    </row>
    <row r="12" spans="1:19" x14ac:dyDescent="0.2">
      <c r="A12" s="9">
        <v>8</v>
      </c>
      <c r="B12" s="17" t="s">
        <v>594</v>
      </c>
      <c r="C12" s="17" t="s">
        <v>595</v>
      </c>
      <c r="D12" s="17" t="s">
        <v>578</v>
      </c>
      <c r="E12" s="17"/>
      <c r="F12" s="17"/>
      <c r="G12" s="9" t="str">
        <f t="shared" si="0"/>
        <v>ue_localizacao_diferenciada_id</v>
      </c>
      <c r="H12" s="9" t="str">
        <f t="shared" si="4"/>
        <v>int(11)</v>
      </c>
      <c r="I12" s="9" t="str">
        <f t="shared" si="1"/>
        <v>11</v>
      </c>
      <c r="J12" s="9" t="str">
        <f t="shared" si="11"/>
        <v>false</v>
      </c>
      <c r="K12" s="9" t="str">
        <f t="shared" si="5"/>
        <v xml:space="preserve">ue_ue_localizacao_diferenciada_id, </v>
      </c>
      <c r="L12" s="9" t="s">
        <v>575</v>
      </c>
      <c r="M12" s="9" t="str">
        <f t="shared" si="6"/>
        <v>ue.ue_localizacao_diferenciada_id,</v>
      </c>
      <c r="N12" s="9" t="str">
        <f t="shared" si="7"/>
        <v>$rsRegistroUEIdent['ue_localizacao_diferenciada_id'] = '';</v>
      </c>
      <c r="O12" s="9" t="str">
        <f t="shared" si="8"/>
        <v>'name' =&gt; 'ue_ue_localizacao_diferenciada_id',    'id' =&gt; 'ue_ue_localizacao_diferenciada_id',    'maxlength' =&gt; 11,    'value' =&gt; $rsRegistroUEIdent['ue_localizacao_diferenciada_id'],    'required' =&gt; false</v>
      </c>
      <c r="P12" s="13" t="str">
        <f t="shared" si="9"/>
        <v>$ue_localizacao_diferenciada_id           = strip_tags(@$_POST['ue_ue_localizacao_diferenciada_id']?: '');</v>
      </c>
      <c r="Q12" s="9" t="str">
        <f t="shared" si="10"/>
        <v>ue_localizacao_diferenciada_id = ?,</v>
      </c>
      <c r="R12" s="9" t="str">
        <f t="shared" si="2"/>
        <v>ue_localizacao_diferenciada_id,</v>
      </c>
      <c r="S12" s="10" t="str">
        <f t="shared" si="3"/>
        <v>$stmt-&gt;bindValue(8, $ue_localizacao_diferenciada_id?: NULL);</v>
      </c>
    </row>
    <row r="13" spans="1:19" x14ac:dyDescent="0.2">
      <c r="A13" s="9">
        <v>9</v>
      </c>
      <c r="B13" s="17" t="s">
        <v>594</v>
      </c>
      <c r="C13" s="17" t="s">
        <v>595</v>
      </c>
      <c r="D13" s="17" t="s">
        <v>579</v>
      </c>
      <c r="E13" s="17"/>
      <c r="F13" s="17"/>
      <c r="G13" s="9" t="str">
        <f t="shared" si="0"/>
        <v>bsc_esfera_administrativa_id_dependencia</v>
      </c>
      <c r="H13" s="9" t="str">
        <f t="shared" si="4"/>
        <v>int(11)</v>
      </c>
      <c r="I13" s="9" t="str">
        <f t="shared" si="1"/>
        <v>11</v>
      </c>
      <c r="J13" s="9" t="str">
        <f t="shared" si="11"/>
        <v>false</v>
      </c>
      <c r="K13" s="9" t="str">
        <f t="shared" si="5"/>
        <v xml:space="preserve">ue_bsc_esfera_administrativa_id_dependencia, </v>
      </c>
      <c r="L13" s="9" t="s">
        <v>575</v>
      </c>
      <c r="M13" s="9" t="str">
        <f t="shared" si="6"/>
        <v>ue.bsc_esfera_administrativa_id_dependencia,</v>
      </c>
      <c r="N13" s="9" t="str">
        <f t="shared" si="7"/>
        <v>$rsRegistroUEIdent['bsc_esfera_administrativa_id_dependencia'] = '';</v>
      </c>
      <c r="O13" s="9" t="str">
        <f t="shared" si="8"/>
        <v>'name' =&gt; 'ue_bsc_esfera_administrativa_id_dependencia',    'id' =&gt; 'ue_bsc_esfera_administrativa_id_dependencia',    'maxlength' =&gt; 11,    'value' =&gt; $rsRegistroUEIdent['bsc_esfera_administrativa_id_dependencia'],    'required' =&gt; false</v>
      </c>
      <c r="P13" s="13" t="str">
        <f t="shared" si="9"/>
        <v>$bsc_esfera_administrativa_id_dependencia = strip_tags(@$_POST['ue_bsc_esfera_administrativa_id_dependencia']?: '');</v>
      </c>
      <c r="Q13" s="9" t="str">
        <f t="shared" si="10"/>
        <v>bsc_esfera_administrativa_id_dependencia = ?,</v>
      </c>
      <c r="R13" s="9" t="str">
        <f t="shared" si="2"/>
        <v>bsc_esfera_administrativa_id_dependencia,</v>
      </c>
      <c r="S13" s="10" t="str">
        <f t="shared" si="3"/>
        <v>$stmt-&gt;bindValue(9, $bsc_esfera_administrativa_id_dependencia?: NULL);</v>
      </c>
    </row>
    <row r="14" spans="1:19" x14ac:dyDescent="0.2">
      <c r="A14" s="9">
        <v>10</v>
      </c>
      <c r="B14" s="17" t="s">
        <v>594</v>
      </c>
      <c r="C14" s="17" t="s">
        <v>595</v>
      </c>
      <c r="D14" s="17" t="s">
        <v>580</v>
      </c>
      <c r="E14" s="17"/>
      <c r="F14" s="17"/>
      <c r="G14" s="9" t="str">
        <f t="shared" si="0"/>
        <v>ue_cat_esc_priv_id</v>
      </c>
      <c r="H14" s="9" t="str">
        <f t="shared" si="4"/>
        <v>int(11)</v>
      </c>
      <c r="I14" s="9" t="str">
        <f t="shared" si="1"/>
        <v>11</v>
      </c>
      <c r="J14" s="9" t="str">
        <f t="shared" si="11"/>
        <v>false</v>
      </c>
      <c r="K14" s="9" t="str">
        <f t="shared" si="5"/>
        <v xml:space="preserve">ue_ue_cat_esc_priv_id, </v>
      </c>
      <c r="L14" s="9" t="s">
        <v>575</v>
      </c>
      <c r="M14" s="9" t="str">
        <f t="shared" si="6"/>
        <v>ue.ue_cat_esc_priv_id,</v>
      </c>
      <c r="N14" s="9" t="str">
        <f t="shared" si="7"/>
        <v>$rsRegistroUEIdent['ue_cat_esc_priv_id'] = '';</v>
      </c>
      <c r="O14" s="9" t="str">
        <f t="shared" si="8"/>
        <v>'name' =&gt; 'ue_ue_cat_esc_priv_id',    'id' =&gt; 'ue_ue_cat_esc_priv_id',    'maxlength' =&gt; 11,    'value' =&gt; $rsRegistroUEIdent['ue_cat_esc_priv_id'],    'required' =&gt; false</v>
      </c>
      <c r="P14" s="13" t="str">
        <f t="shared" si="9"/>
        <v>$ue_cat_esc_priv_id                       = strip_tags(@$_POST['ue_ue_cat_esc_priv_id']?: '');</v>
      </c>
      <c r="Q14" s="9" t="str">
        <f t="shared" si="10"/>
        <v>ue_cat_esc_priv_id = ?,</v>
      </c>
      <c r="R14" s="9" t="str">
        <f t="shared" si="2"/>
        <v>ue_cat_esc_priv_id,</v>
      </c>
      <c r="S14" s="10" t="str">
        <f t="shared" si="3"/>
        <v>$stmt-&gt;bindValue(10, $ue_cat_esc_priv_id?: NULL);</v>
      </c>
    </row>
    <row r="15" spans="1:19" x14ac:dyDescent="0.2">
      <c r="A15" s="9">
        <v>11</v>
      </c>
      <c r="B15" s="17" t="s">
        <v>594</v>
      </c>
      <c r="C15" s="17" t="s">
        <v>595</v>
      </c>
      <c r="D15" s="17" t="s">
        <v>581</v>
      </c>
      <c r="E15" s="17"/>
      <c r="F15" s="17"/>
      <c r="G15" s="9" t="str">
        <f t="shared" si="0"/>
        <v>bsc_esfera_administrativa_id_regulam</v>
      </c>
      <c r="H15" s="9" t="str">
        <f t="shared" si="4"/>
        <v>int(11)</v>
      </c>
      <c r="I15" s="9" t="str">
        <f t="shared" si="1"/>
        <v>11</v>
      </c>
      <c r="J15" s="9" t="str">
        <f t="shared" si="11"/>
        <v>false</v>
      </c>
      <c r="K15" s="9" t="str">
        <f t="shared" si="5"/>
        <v xml:space="preserve">ue_bsc_esfera_administrativa_id_regulam, </v>
      </c>
      <c r="L15" s="9" t="s">
        <v>575</v>
      </c>
      <c r="M15" s="9" t="str">
        <f t="shared" si="6"/>
        <v>ue.bsc_esfera_administrativa_id_regulam,</v>
      </c>
      <c r="N15" s="9" t="str">
        <f t="shared" si="7"/>
        <v>$rsRegistroUEIdent['bsc_esfera_administrativa_id_regulam'] = '';</v>
      </c>
      <c r="O15" s="9" t="str">
        <f t="shared" si="8"/>
        <v>'name' =&gt; 'ue_bsc_esfera_administrativa_id_regulam',    'id' =&gt; 'ue_bsc_esfera_administrativa_id_regulam',    'maxlength' =&gt; 11,    'value' =&gt; $rsRegistroUEIdent['bsc_esfera_administrativa_id_regulam'],    'required' =&gt; false</v>
      </c>
      <c r="P15" s="13" t="str">
        <f t="shared" si="9"/>
        <v>$bsc_esfera_administrativa_id_regulam     = strip_tags(@$_POST['ue_bsc_esfera_administrativa_id_regulam']?: '');</v>
      </c>
      <c r="Q15" s="9" t="str">
        <f t="shared" si="10"/>
        <v>bsc_esfera_administrativa_id_regulam = ?,</v>
      </c>
      <c r="R15" s="9" t="str">
        <f t="shared" si="2"/>
        <v>bsc_esfera_administrativa_id_regulam,</v>
      </c>
      <c r="S15" s="10" t="str">
        <f t="shared" si="3"/>
        <v>$stmt-&gt;bindValue(11, $bsc_esfera_administrativa_id_regulam?: NULL);</v>
      </c>
    </row>
    <row r="16" spans="1:19" x14ac:dyDescent="0.2">
      <c r="A16" s="9">
        <v>12</v>
      </c>
      <c r="B16" s="17" t="s">
        <v>594</v>
      </c>
      <c r="C16" s="17" t="s">
        <v>595</v>
      </c>
      <c r="D16" s="17" t="s">
        <v>582</v>
      </c>
      <c r="E16" s="17"/>
      <c r="F16" s="17"/>
      <c r="G16" s="9" t="str">
        <f t="shared" si="0"/>
        <v>ue_regulam_situacao_id</v>
      </c>
      <c r="H16" s="9" t="str">
        <f t="shared" si="4"/>
        <v>int(11)</v>
      </c>
      <c r="I16" s="9" t="str">
        <f t="shared" si="1"/>
        <v>11</v>
      </c>
      <c r="J16" s="9" t="str">
        <f t="shared" si="11"/>
        <v>false</v>
      </c>
      <c r="K16" s="9" t="str">
        <f t="shared" si="5"/>
        <v xml:space="preserve">ue_ue_regulam_situacao_id, </v>
      </c>
      <c r="L16" s="9" t="s">
        <v>575</v>
      </c>
      <c r="M16" s="9" t="str">
        <f t="shared" si="6"/>
        <v>ue.ue_regulam_situacao_id,</v>
      </c>
      <c r="N16" s="9" t="str">
        <f t="shared" si="7"/>
        <v>$rsRegistroUEIdent['ue_regulam_situacao_id'] = '';</v>
      </c>
      <c r="O16" s="9" t="str">
        <f t="shared" si="8"/>
        <v>'name' =&gt; 'ue_ue_regulam_situacao_id',    'id' =&gt; 'ue_ue_regulam_situacao_id',    'maxlength' =&gt; 11,    'value' =&gt; $rsRegistroUEIdent['ue_regulam_situacao_id'],    'required' =&gt; false</v>
      </c>
      <c r="P16" s="13" t="str">
        <f t="shared" si="9"/>
        <v>$ue_regulam_situacao_id                   = strip_tags(@$_POST['ue_ue_regulam_situacao_id']?: '');</v>
      </c>
      <c r="Q16" s="9" t="str">
        <f t="shared" si="10"/>
        <v>ue_regulam_situacao_id = ?,</v>
      </c>
      <c r="R16" s="9" t="str">
        <f t="shared" si="2"/>
        <v>ue_regulam_situacao_id,</v>
      </c>
      <c r="S16" s="10" t="str">
        <f t="shared" si="3"/>
        <v>$stmt-&gt;bindValue(12, $ue_regulam_situacao_id?: NULL);</v>
      </c>
    </row>
    <row r="17" spans="1:19" x14ac:dyDescent="0.2">
      <c r="A17" s="9">
        <v>13</v>
      </c>
      <c r="B17" s="17" t="s">
        <v>594</v>
      </c>
      <c r="C17" s="17" t="s">
        <v>595</v>
      </c>
      <c r="D17" s="17" t="s">
        <v>583</v>
      </c>
      <c r="E17" s="17"/>
      <c r="F17" s="17"/>
      <c r="G17" s="9" t="str">
        <f t="shared" si="0"/>
        <v>ue_ue_vinculada_tipo_id</v>
      </c>
      <c r="H17" s="9" t="str">
        <f t="shared" si="4"/>
        <v>int(11)</v>
      </c>
      <c r="I17" s="9" t="str">
        <f t="shared" si="1"/>
        <v>11</v>
      </c>
      <c r="J17" s="9" t="str">
        <f t="shared" si="11"/>
        <v>false</v>
      </c>
      <c r="K17" s="9" t="str">
        <f t="shared" si="5"/>
        <v xml:space="preserve">ue_ue_ue_vinculada_tipo_id, </v>
      </c>
      <c r="L17" s="9" t="s">
        <v>575</v>
      </c>
      <c r="M17" s="9" t="str">
        <f t="shared" si="6"/>
        <v>ue.ue_ue_vinculada_tipo_id,</v>
      </c>
      <c r="N17" s="9" t="str">
        <f t="shared" si="7"/>
        <v>$rsRegistroUEIdent['ue_ue_vinculada_tipo_id'] = '';</v>
      </c>
      <c r="O17" s="9" t="str">
        <f t="shared" si="8"/>
        <v>'name' =&gt; 'ue_ue_ue_vinculada_tipo_id',    'id' =&gt; 'ue_ue_ue_vinculada_tipo_id',    'maxlength' =&gt; 11,    'value' =&gt; $rsRegistroUEIdent['ue_ue_vinculada_tipo_id'],    'required' =&gt; false</v>
      </c>
      <c r="P17" s="13" t="str">
        <f t="shared" si="9"/>
        <v>$ue_ue_vinculada_tipo_id                  = strip_tags(@$_POST['ue_ue_ue_vinculada_tipo_id']?: '');</v>
      </c>
      <c r="Q17" s="9" t="str">
        <f t="shared" si="10"/>
        <v>ue_ue_vinculada_tipo_id = ?,</v>
      </c>
      <c r="R17" s="9" t="str">
        <f t="shared" si="2"/>
        <v>ue_ue_vinculada_tipo_id,</v>
      </c>
      <c r="S17" s="10" t="str">
        <f t="shared" si="3"/>
        <v>$stmt-&gt;bindValue(13, $ue_ue_vinculada_tipo_id?: NULL);</v>
      </c>
    </row>
    <row r="18" spans="1:19" x14ac:dyDescent="0.2">
      <c r="A18" s="9">
        <v>14</v>
      </c>
      <c r="B18" s="17" t="s">
        <v>594</v>
      </c>
      <c r="C18" s="17" t="s">
        <v>595</v>
      </c>
      <c r="D18" s="17" t="s">
        <v>584</v>
      </c>
      <c r="E18" s="17"/>
      <c r="F18" s="17"/>
      <c r="G18" s="9" t="str">
        <f t="shared" si="0"/>
        <v>ue_ue_id_vinculada</v>
      </c>
      <c r="H18" s="9" t="str">
        <f t="shared" si="4"/>
        <v>int(11)</v>
      </c>
      <c r="I18" s="9" t="str">
        <f t="shared" si="1"/>
        <v>11</v>
      </c>
      <c r="J18" s="9" t="str">
        <f t="shared" si="11"/>
        <v>false</v>
      </c>
      <c r="K18" s="9" t="str">
        <f t="shared" si="5"/>
        <v xml:space="preserve">ue_ue_ue_id_vinculada, </v>
      </c>
      <c r="L18" s="9" t="s">
        <v>575</v>
      </c>
      <c r="M18" s="9" t="str">
        <f t="shared" si="6"/>
        <v>ue.ue_ue_id_vinculada,</v>
      </c>
      <c r="N18" s="9" t="str">
        <f t="shared" si="7"/>
        <v>$rsRegistroUEIdent['ue_ue_id_vinculada'] = '';</v>
      </c>
      <c r="O18" s="9" t="str">
        <f t="shared" si="8"/>
        <v>'name' =&gt; 'ue_ue_ue_id_vinculada',    'id' =&gt; 'ue_ue_ue_id_vinculada',    'maxlength' =&gt; 11,    'value' =&gt; $rsRegistroUEIdent['ue_ue_id_vinculada'],    'required' =&gt; false</v>
      </c>
      <c r="P18" s="13" t="str">
        <f t="shared" si="9"/>
        <v>$ue_ue_id_vinculada                       = strip_tags(@$_POST['ue_ue_ue_id_vinculada']?: '');</v>
      </c>
      <c r="Q18" s="9" t="str">
        <f t="shared" si="10"/>
        <v>ue_ue_id_vinculada = ?,</v>
      </c>
      <c r="R18" s="9" t="str">
        <f t="shared" si="2"/>
        <v>ue_ue_id_vinculada,</v>
      </c>
      <c r="S18" s="10" t="str">
        <f t="shared" si="3"/>
        <v>$stmt-&gt;bindValue(14, $ue_ue_id_vinculada?: NULL);</v>
      </c>
    </row>
    <row r="19" spans="1:19" x14ac:dyDescent="0.2">
      <c r="A19" s="9">
        <v>15</v>
      </c>
      <c r="B19" s="17" t="s">
        <v>594</v>
      </c>
      <c r="C19" s="17" t="s">
        <v>595</v>
      </c>
      <c r="D19" s="17" t="s">
        <v>585</v>
      </c>
      <c r="E19" s="17"/>
      <c r="F19" s="17"/>
      <c r="G19" s="9" t="str">
        <f t="shared" si="0"/>
        <v>regional_cod</v>
      </c>
      <c r="H19" s="9" t="str">
        <f t="shared" si="4"/>
        <v>varchar(30)</v>
      </c>
      <c r="I19" s="9" t="str">
        <f t="shared" si="1"/>
        <v>30</v>
      </c>
      <c r="J19" s="9" t="str">
        <f t="shared" si="11"/>
        <v>false</v>
      </c>
      <c r="K19" s="9" t="str">
        <f t="shared" si="5"/>
        <v xml:space="preserve">ue_regional_cod, </v>
      </c>
      <c r="L19" s="9" t="s">
        <v>575</v>
      </c>
      <c r="M19" s="9" t="str">
        <f t="shared" si="6"/>
        <v>ue.regional_cod,</v>
      </c>
      <c r="N19" s="9" t="str">
        <f t="shared" si="7"/>
        <v>$rsRegistroUEIdent['regional_cod'] = '';</v>
      </c>
      <c r="O19" s="9" t="str">
        <f t="shared" si="8"/>
        <v>'name' =&gt; 'ue_regional_cod',    'id' =&gt; 'ue_regional_cod',    'maxlength' =&gt; 30,    'value' =&gt; $rsRegistroUEIdent['regional_cod'],    'required' =&gt; false</v>
      </c>
      <c r="P19" s="13" t="str">
        <f t="shared" si="9"/>
        <v>$regional_cod                             = ucwords(strtolower(trim(strip_tags(@$_POST['ue_regional_cod']?: ''))));</v>
      </c>
      <c r="Q19" s="9" t="str">
        <f t="shared" si="10"/>
        <v>regional_cod = ?,</v>
      </c>
      <c r="R19" s="9" t="str">
        <f t="shared" si="2"/>
        <v>regional_cod,</v>
      </c>
      <c r="S19" s="10" t="str">
        <f t="shared" si="3"/>
        <v>$stmt-&gt;bindValue(15, $regional_cod);</v>
      </c>
    </row>
    <row r="20" spans="1:19" x14ac:dyDescent="0.2">
      <c r="A20" s="9">
        <v>16</v>
      </c>
      <c r="B20" s="17" t="s">
        <v>594</v>
      </c>
      <c r="C20" s="17" t="s">
        <v>595</v>
      </c>
      <c r="D20" s="17" t="s">
        <v>586</v>
      </c>
      <c r="E20" s="17"/>
      <c r="F20" s="17"/>
      <c r="G20" s="9" t="str">
        <f t="shared" si="0"/>
        <v>entidade_superior_acesso</v>
      </c>
      <c r="H20" s="9" t="str">
        <f t="shared" si="4"/>
        <v>varchar(100)</v>
      </c>
      <c r="I20" s="9" t="str">
        <f t="shared" si="1"/>
        <v>100</v>
      </c>
      <c r="J20" s="9" t="str">
        <f t="shared" si="11"/>
        <v>false</v>
      </c>
      <c r="K20" s="9" t="str">
        <f t="shared" si="5"/>
        <v xml:space="preserve">ue_entidade_superior_acesso, </v>
      </c>
      <c r="L20" s="9" t="s">
        <v>575</v>
      </c>
      <c r="M20" s="9" t="str">
        <f t="shared" si="6"/>
        <v>ue.entidade_superior_acesso,</v>
      </c>
      <c r="N20" s="9" t="str">
        <f t="shared" si="7"/>
        <v>$rsRegistroUEIdent['entidade_superior_acesso'] = '';</v>
      </c>
      <c r="O20" s="9" t="str">
        <f t="shared" si="8"/>
        <v>'name' =&gt; 'ue_entidade_superior_acesso',    'id' =&gt; 'ue_entidade_superior_acesso',    'maxlength' =&gt; 100,    'value' =&gt; $rsRegistroUEIdent['entidade_superior_acesso'],    'required' =&gt; false</v>
      </c>
      <c r="P20" s="13" t="str">
        <f t="shared" si="9"/>
        <v>$entidade_superior_acesso                 = ucwords(strtolower(trim(strip_tags(@$_POST['ue_entidade_superior_acesso']?: ''))));</v>
      </c>
      <c r="Q20" s="9" t="str">
        <f t="shared" si="10"/>
        <v>entidade_superior_acesso = ?,</v>
      </c>
      <c r="R20" s="9" t="str">
        <f t="shared" si="2"/>
        <v>entidade_superior_acesso,</v>
      </c>
      <c r="S20" s="10" t="str">
        <f t="shared" si="3"/>
        <v>$stmt-&gt;bindValue(16, $entidade_superior_acesso);</v>
      </c>
    </row>
    <row r="21" spans="1:19" x14ac:dyDescent="0.2">
      <c r="A21" s="9">
        <v>17</v>
      </c>
      <c r="B21" s="17" t="s">
        <v>594</v>
      </c>
      <c r="C21" s="17" t="s">
        <v>595</v>
      </c>
      <c r="D21" s="17" t="s">
        <v>587</v>
      </c>
      <c r="E21" s="17"/>
      <c r="F21" s="17"/>
      <c r="G21" s="9" t="str">
        <f t="shared" si="0"/>
        <v>ue_infra_local_ocupacao_forma_id</v>
      </c>
      <c r="H21" s="9" t="str">
        <f t="shared" si="4"/>
        <v>int(11)</v>
      </c>
      <c r="I21" s="9" t="str">
        <f t="shared" si="1"/>
        <v>11</v>
      </c>
      <c r="J21" s="9" t="str">
        <f t="shared" si="11"/>
        <v>false</v>
      </c>
      <c r="K21" s="9" t="str">
        <f t="shared" si="5"/>
        <v xml:space="preserve">ue_ue_infra_local_ocupacao_forma_id, </v>
      </c>
      <c r="L21" s="9" t="s">
        <v>575</v>
      </c>
      <c r="M21" s="9" t="str">
        <f t="shared" si="6"/>
        <v>ue.ue_infra_local_ocupacao_forma_id,</v>
      </c>
      <c r="N21" s="9" t="str">
        <f t="shared" si="7"/>
        <v>$rsRegistroUEIdent['ue_infra_local_ocupacao_forma_id'] = '';</v>
      </c>
      <c r="O21" s="9" t="str">
        <f t="shared" si="8"/>
        <v>'name' =&gt; 'ue_ue_infra_local_ocupacao_forma_id',    'id' =&gt; 'ue_ue_infra_local_ocupacao_forma_id',    'maxlength' =&gt; 11,    'value' =&gt; $rsRegistroUEIdent['ue_infra_local_ocupacao_forma_id'],    'required' =&gt; false</v>
      </c>
      <c r="P21" s="13" t="str">
        <f t="shared" si="9"/>
        <v>$ue_infra_local_ocupacao_forma_id         = strip_tags(@$_POST['ue_ue_infra_local_ocupacao_forma_id']?: '');</v>
      </c>
      <c r="Q21" s="9" t="str">
        <f t="shared" si="10"/>
        <v>ue_infra_local_ocupacao_forma_id = ?,</v>
      </c>
      <c r="R21" s="9" t="str">
        <f t="shared" si="2"/>
        <v>ue_infra_local_ocupacao_forma_id,</v>
      </c>
      <c r="S21" s="10" t="str">
        <f t="shared" si="3"/>
        <v>$stmt-&gt;bindValue(17, $ue_infra_local_ocupacao_forma_id?: NULL);</v>
      </c>
    </row>
    <row r="22" spans="1:19" x14ac:dyDescent="0.2">
      <c r="A22" s="9">
        <v>18</v>
      </c>
      <c r="B22" s="17" t="s">
        <v>594</v>
      </c>
      <c r="C22" s="17" t="s">
        <v>595</v>
      </c>
      <c r="D22" s="17" t="s">
        <v>588</v>
      </c>
      <c r="E22" s="17"/>
      <c r="F22" s="17"/>
      <c r="G22" s="9" t="str">
        <f t="shared" si="0"/>
        <v>fornece_agua_potavel</v>
      </c>
      <c r="H22" s="9" t="str">
        <f t="shared" si="4"/>
        <v>tinyint(1)</v>
      </c>
      <c r="I22" s="9" t="str">
        <f t="shared" si="1"/>
        <v>1</v>
      </c>
      <c r="J22" s="9" t="str">
        <f t="shared" si="11"/>
        <v>false</v>
      </c>
      <c r="K22" s="9" t="str">
        <f t="shared" si="5"/>
        <v xml:space="preserve">ue_fornece_agua_potavel, </v>
      </c>
      <c r="L22" s="9" t="s">
        <v>575</v>
      </c>
      <c r="M22" s="9" t="str">
        <f t="shared" si="6"/>
        <v>ue.fornece_agua_potavel,</v>
      </c>
      <c r="N22" s="9" t="str">
        <f t="shared" si="7"/>
        <v>$rsRegistroUEIdent['fornece_agua_potavel'] = '';</v>
      </c>
      <c r="O22" s="9" t="str">
        <f t="shared" si="8"/>
        <v>'name' =&gt; 'ue_fornece_agua_potavel',    'id' =&gt; 'ue_fornece_agua_potavel',    'maxlength' =&gt; 1,    'value' =&gt; $rsRegistroUEIdent['fornece_agua_potavel'],    'required' =&gt; false</v>
      </c>
      <c r="P22" s="13" t="str">
        <f t="shared" si="9"/>
        <v>$fornece_agua_potavel                     = ucwords(strtolower(trim(strip_tags(@$_POST['ue_fornece_agua_potavel']?: ''))));</v>
      </c>
      <c r="Q22" s="9" t="str">
        <f t="shared" si="10"/>
        <v>fornece_agua_potavel = ?,</v>
      </c>
      <c r="R22" s="9" t="str">
        <f t="shared" si="2"/>
        <v>fornece_agua_potavel,</v>
      </c>
      <c r="S22" s="10" t="str">
        <f t="shared" si="3"/>
        <v>$stmt-&gt;bindValue(18, $fornece_agua_potavel);</v>
      </c>
    </row>
    <row r="23" spans="1:19" x14ac:dyDescent="0.2">
      <c r="A23" s="9">
        <v>19</v>
      </c>
      <c r="B23" s="17" t="s">
        <v>594</v>
      </c>
      <c r="C23" s="17" t="s">
        <v>595</v>
      </c>
      <c r="D23" s="17" t="s">
        <v>589</v>
      </c>
      <c r="E23" s="17"/>
      <c r="F23" s="17"/>
      <c r="G23" s="9" t="str">
        <f t="shared" si="0"/>
        <v>sala_aula_qtd</v>
      </c>
      <c r="H23" s="9" t="str">
        <f t="shared" si="4"/>
        <v>int(11)</v>
      </c>
      <c r="I23" s="9" t="str">
        <f t="shared" si="1"/>
        <v>11</v>
      </c>
      <c r="J23" s="9" t="str">
        <f t="shared" si="11"/>
        <v>false</v>
      </c>
      <c r="K23" s="9" t="str">
        <f t="shared" si="5"/>
        <v xml:space="preserve">ue_sala_aula_qtd, </v>
      </c>
      <c r="L23" s="9" t="s">
        <v>575</v>
      </c>
      <c r="M23" s="9" t="str">
        <f t="shared" si="6"/>
        <v>ue.sala_aula_qtd,</v>
      </c>
      <c r="N23" s="9" t="str">
        <f t="shared" si="7"/>
        <v>$rsRegistroUEIdent['sala_aula_qtd'] = '';</v>
      </c>
      <c r="O23" s="9" t="str">
        <f t="shared" si="8"/>
        <v>'name' =&gt; 'ue_sala_aula_qtd',    'id' =&gt; 'ue_sala_aula_qtd',    'maxlength' =&gt; 11,    'value' =&gt; $rsRegistroUEIdent['sala_aula_qtd'],    'required' =&gt; false</v>
      </c>
      <c r="P23" s="13" t="str">
        <f t="shared" si="9"/>
        <v>$sala_aula_qtd                            = ucwords(strtolower(trim(strip_tags(@$_POST['ue_sala_aula_qtd']?: ''))));</v>
      </c>
      <c r="Q23" s="9" t="str">
        <f t="shared" si="10"/>
        <v>sala_aula_qtd = ?,</v>
      </c>
      <c r="R23" s="9" t="str">
        <f t="shared" si="2"/>
        <v>sala_aula_qtd,</v>
      </c>
      <c r="S23" s="10" t="str">
        <f t="shared" si="3"/>
        <v>$stmt-&gt;bindValue(19, $sala_aula_qtd);</v>
      </c>
    </row>
    <row r="24" spans="1:19" x14ac:dyDescent="0.2">
      <c r="A24" s="9">
        <v>20</v>
      </c>
      <c r="B24" s="17" t="s">
        <v>594</v>
      </c>
      <c r="C24" s="17" t="s">
        <v>595</v>
      </c>
      <c r="D24" s="17" t="s">
        <v>590</v>
      </c>
      <c r="E24" s="17"/>
      <c r="F24" s="17"/>
      <c r="G24" s="9" t="str">
        <f t="shared" si="0"/>
        <v>sala_aula_climatizada_qtd</v>
      </c>
      <c r="H24" s="9" t="str">
        <f t="shared" si="4"/>
        <v>int(11)</v>
      </c>
      <c r="I24" s="9" t="str">
        <f t="shared" si="1"/>
        <v>11</v>
      </c>
      <c r="J24" s="9" t="str">
        <f t="shared" si="11"/>
        <v>false</v>
      </c>
      <c r="K24" s="9" t="str">
        <f t="shared" si="5"/>
        <v xml:space="preserve">ue_sala_aula_climatizada_qtd, </v>
      </c>
      <c r="L24" s="9" t="s">
        <v>575</v>
      </c>
      <c r="M24" s="9" t="str">
        <f t="shared" si="6"/>
        <v>ue.sala_aula_climatizada_qtd,</v>
      </c>
      <c r="N24" s="9" t="str">
        <f t="shared" si="7"/>
        <v>$rsRegistroUEIdent['sala_aula_climatizada_qtd'] = '';</v>
      </c>
      <c r="O24" s="9" t="str">
        <f t="shared" si="8"/>
        <v>'name' =&gt; 'ue_sala_aula_climatizada_qtd',    'id' =&gt; 'ue_sala_aula_climatizada_qtd',    'maxlength' =&gt; 11,    'value' =&gt; $rsRegistroUEIdent['sala_aula_climatizada_qtd'],    'required' =&gt; false</v>
      </c>
      <c r="P24" s="13" t="str">
        <f t="shared" si="9"/>
        <v>$sala_aula_climatizada_qtd                = ucwords(strtolower(trim(strip_tags(@$_POST['ue_sala_aula_climatizada_qtd']?: ''))));</v>
      </c>
      <c r="Q24" s="9" t="str">
        <f t="shared" si="10"/>
        <v>sala_aula_climatizada_qtd = ?,</v>
      </c>
      <c r="R24" s="9" t="str">
        <f t="shared" si="2"/>
        <v>sala_aula_climatizada_qtd,</v>
      </c>
      <c r="S24" s="10" t="str">
        <f t="shared" si="3"/>
        <v>$stmt-&gt;bindValue(20, $sala_aula_climatizada_qtd);</v>
      </c>
    </row>
    <row r="25" spans="1:19" x14ac:dyDescent="0.2">
      <c r="A25" s="9">
        <v>21</v>
      </c>
      <c r="B25" s="17" t="s">
        <v>594</v>
      </c>
      <c r="C25" s="17" t="s">
        <v>595</v>
      </c>
      <c r="D25" s="17" t="s">
        <v>591</v>
      </c>
      <c r="E25" s="17"/>
      <c r="F25" s="17"/>
      <c r="G25" s="9" t="str">
        <f t="shared" si="0"/>
        <v>sala_aula_acessibilidade_qtd</v>
      </c>
      <c r="H25" s="9" t="str">
        <f t="shared" si="4"/>
        <v>int(11)</v>
      </c>
      <c r="I25" s="9" t="str">
        <f t="shared" si="1"/>
        <v>11</v>
      </c>
      <c r="J25" s="9" t="str">
        <f t="shared" si="11"/>
        <v>false</v>
      </c>
      <c r="K25" s="9" t="str">
        <f t="shared" si="5"/>
        <v xml:space="preserve">ue_sala_aula_acessibilidade_qtd, </v>
      </c>
      <c r="L25" s="9" t="s">
        <v>575</v>
      </c>
      <c r="M25" s="9" t="str">
        <f t="shared" si="6"/>
        <v>ue.sala_aula_acessibilidade_qtd,</v>
      </c>
      <c r="N25" s="9" t="str">
        <f t="shared" si="7"/>
        <v>$rsRegistroUEIdent['sala_aula_acessibilidade_qtd'] = '';</v>
      </c>
      <c r="O25" s="9" t="str">
        <f t="shared" si="8"/>
        <v>'name' =&gt; 'ue_sala_aula_acessibilidade_qtd',    'id' =&gt; 'ue_sala_aula_acessibilidade_qtd',    'maxlength' =&gt; 11,    'value' =&gt; $rsRegistroUEIdent['sala_aula_acessibilidade_qtd'],    'required' =&gt; false</v>
      </c>
      <c r="P25" s="13" t="str">
        <f t="shared" si="9"/>
        <v>$sala_aula_acessibilidade_qtd             = ucwords(strtolower(trim(strip_tags(@$_POST['ue_sala_aula_acessibilidade_qtd']?: ''))));</v>
      </c>
      <c r="Q25" s="9" t="str">
        <f t="shared" si="10"/>
        <v>sala_aula_acessibilidade_qtd = ?,</v>
      </c>
      <c r="R25" s="9" t="str">
        <f t="shared" si="2"/>
        <v>sala_aula_acessibilidade_qtd,</v>
      </c>
      <c r="S25" s="10" t="str">
        <f t="shared" si="3"/>
        <v>$stmt-&gt;bindValue(21, $sala_aula_acessibilidade_qtd);</v>
      </c>
    </row>
    <row r="26" spans="1:19" x14ac:dyDescent="0.2">
      <c r="A26" s="9">
        <v>22</v>
      </c>
      <c r="B26" s="17" t="s">
        <v>594</v>
      </c>
      <c r="C26" s="17" t="s">
        <v>595</v>
      </c>
      <c r="D26" s="17" t="s">
        <v>592</v>
      </c>
      <c r="E26" s="17"/>
      <c r="F26" s="17"/>
      <c r="G26" s="9" t="str">
        <f t="shared" si="0"/>
        <v>internet_banda_larga_velocidade</v>
      </c>
      <c r="H26" s="9" t="str">
        <f t="shared" si="4"/>
        <v>varchar(50)</v>
      </c>
      <c r="I26" s="9" t="str">
        <f t="shared" si="1"/>
        <v>50</v>
      </c>
      <c r="J26" s="9" t="str">
        <f t="shared" si="11"/>
        <v>false</v>
      </c>
      <c r="K26" s="9" t="str">
        <f t="shared" si="5"/>
        <v xml:space="preserve">ue_internet_banda_larga_velocidade, </v>
      </c>
      <c r="L26" s="9" t="s">
        <v>575</v>
      </c>
      <c r="M26" s="9" t="str">
        <f t="shared" si="6"/>
        <v>ue.internet_banda_larga_velocidade,</v>
      </c>
      <c r="N26" s="9" t="str">
        <f t="shared" si="7"/>
        <v>$rsRegistroUEIdent['internet_banda_larga_velocidade'] = '';</v>
      </c>
      <c r="O26" s="9" t="str">
        <f t="shared" si="8"/>
        <v>'name' =&gt; 'ue_internet_banda_larga_velocidade',    'id' =&gt; 'ue_internet_banda_larga_velocidade',    'maxlength' =&gt; 50,    'value' =&gt; $rsRegistroUEIdent['internet_banda_larga_velocidade'],    'required' =&gt; false</v>
      </c>
      <c r="P26" s="13" t="str">
        <f t="shared" si="9"/>
        <v>$internet_banda_larga_velocidade          = ucwords(strtolower(trim(strip_tags(@$_POST['ue_internet_banda_larga_velocidade']?: ''))));</v>
      </c>
      <c r="Q26" s="9" t="str">
        <f t="shared" si="10"/>
        <v>internet_banda_larga_velocidade = ?,</v>
      </c>
      <c r="R26" s="9" t="str">
        <f t="shared" si="2"/>
        <v>internet_banda_larga_velocidade,</v>
      </c>
      <c r="S26" s="10" t="str">
        <f>CONCATENATE("$stmt-&gt;bindValue(",A26,", $",G26,IF(OR(IFERROR(FIND("dt_",G26),0)&gt;0,IFERROR(FIND("_id",G26),0)&gt;0,IFERROR(FIND("_ano",G26),0)&gt;0),"?: NULL);",");"))</f>
        <v>$stmt-&gt;bindValue(22, $internet_banda_larga_velocidade);</v>
      </c>
    </row>
    <row r="27" spans="1:19" x14ac:dyDescent="0.2">
      <c r="A27" s="9">
        <v>23</v>
      </c>
      <c r="B27" s="17"/>
      <c r="C27" s="17"/>
      <c r="D27" s="17" t="s">
        <v>593</v>
      </c>
      <c r="E27" s="17"/>
      <c r="F27" s="17"/>
      <c r="G27" s="9" t="str">
        <f t="shared" si="0"/>
        <v>alimentacao_pnae_fnde_oferece</v>
      </c>
      <c r="H27" s="9" t="str">
        <f t="shared" si="4"/>
        <v>tinyint(1)</v>
      </c>
      <c r="I27" s="9" t="str">
        <f t="shared" si="1"/>
        <v>1</v>
      </c>
      <c r="J27" s="9" t="str">
        <f t="shared" si="11"/>
        <v>false</v>
      </c>
      <c r="K27" s="9" t="str">
        <f t="shared" si="5"/>
        <v xml:space="preserve">alimentacao_pnae_fnde_oferece, </v>
      </c>
      <c r="L27" s="9" t="s">
        <v>575</v>
      </c>
      <c r="M27" s="9" t="str">
        <f t="shared" si="6"/>
        <v>alimentacao_pnae_fnde_oferece,</v>
      </c>
      <c r="N27" s="9" t="str">
        <f t="shared" si="7"/>
        <v>$rsRegistroUEIdent['alimentacao_pnae_fnde_oferece'] = '';</v>
      </c>
      <c r="O27" s="9" t="str">
        <f t="shared" si="8"/>
        <v>'name' =&gt; 'alimentacao_pnae_fnde_oferece',    'id' =&gt; 'alimentacao_pnae_fnde_oferece',    'maxlength' =&gt; 1,    'value' =&gt; $rsRegistroUEIdent['alimentacao_pnae_fnde_oferece'],    'required' =&gt; false</v>
      </c>
      <c r="P27" s="13" t="str">
        <f t="shared" si="9"/>
        <v>$alimentacao_pnae_fnde_oferece            = ucwords(strtolower(trim(strip_tags(@$_POST['alimentacao_pnae_fnde_oferece']?: ''))));</v>
      </c>
      <c r="Q27" s="9" t="str">
        <f t="shared" si="10"/>
        <v>alimentacao_pnae_fnde_oferece = ?,</v>
      </c>
      <c r="R27" s="9" t="str">
        <f t="shared" si="2"/>
        <v>alimentacao_pnae_fnde_oferece,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$alimentacao_pnae_fnde_oferece);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575</v>
      </c>
      <c r="M28" s="9" t="str">
        <f t="shared" si="6"/>
        <v>,</v>
      </c>
      <c r="N28" s="9" t="str">
        <f t="shared" si="7"/>
        <v>$rsRegistroUEIdent[''] = '';</v>
      </c>
      <c r="O28" s="9" t="str">
        <f t="shared" si="8"/>
        <v>'name' =&gt; '',    'id' =&gt; '',    'maxlength' =&gt; ,    'value' =&gt; $rsRegistroUEIdent[''],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575</v>
      </c>
      <c r="M29" s="9" t="str">
        <f t="shared" si="6"/>
        <v>,</v>
      </c>
      <c r="N29" s="9" t="str">
        <f t="shared" si="7"/>
        <v>$rsRegistroUEIdent[''] = '';</v>
      </c>
      <c r="O29" s="9" t="str">
        <f t="shared" si="8"/>
        <v>'name' =&gt; '',    'id' =&gt; '',    'maxlength' =&gt; ,    'value' =&gt; $rsRegistroUEIdent[''],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575</v>
      </c>
      <c r="M30" s="9" t="str">
        <f t="shared" si="6"/>
        <v>,</v>
      </c>
      <c r="N30" s="9" t="str">
        <f t="shared" si="7"/>
        <v>$rsRegistroUEIdent[''] = '';</v>
      </c>
      <c r="O30" s="9" t="str">
        <f t="shared" si="8"/>
        <v>'name' =&gt; '',    'id' =&gt; '',    'maxlength' =&gt; ,    'value' =&gt; $rsRegistroUEIdent[''],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575</v>
      </c>
      <c r="M31" s="9" t="str">
        <f t="shared" si="6"/>
        <v>,</v>
      </c>
      <c r="N31" s="9" t="str">
        <f t="shared" si="7"/>
        <v>$rsRegistroUEIdent[''] = '';</v>
      </c>
      <c r="O31" s="9" t="str">
        <f t="shared" si="8"/>
        <v>'name' =&gt; '',    'id' =&gt; '',    'maxlength' =&gt; ,    'value' =&gt; $rsRegistroUEIdent[''],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575</v>
      </c>
      <c r="M32" s="9" t="str">
        <f t="shared" si="6"/>
        <v>,</v>
      </c>
      <c r="N32" s="9" t="str">
        <f t="shared" si="7"/>
        <v>$rsRegistroUEIdent[''] = '';</v>
      </c>
      <c r="O32" s="9" t="str">
        <f t="shared" si="8"/>
        <v>'name' =&gt; '',    'id' =&gt; '',    'maxlength' =&gt; ,    'value' =&gt; $rsRegistroUEIdent[''],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575</v>
      </c>
      <c r="M33" s="9" t="str">
        <f t="shared" si="6"/>
        <v>,</v>
      </c>
      <c r="N33" s="9" t="str">
        <f t="shared" si="7"/>
        <v>$rsRegistroUEIdent[''] = '';</v>
      </c>
      <c r="O33" s="9" t="str">
        <f t="shared" si="8"/>
        <v>'name' =&gt; '',    'id' =&gt; '',    'maxlength' =&gt; ,    'value' =&gt; $rsRegistroUEIdent[''],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575</v>
      </c>
      <c r="M34" s="9" t="str">
        <f t="shared" si="6"/>
        <v>,</v>
      </c>
      <c r="N34" s="9" t="str">
        <f t="shared" si="7"/>
        <v>$rsRegistroUEIdent[''] = '';</v>
      </c>
      <c r="O34" s="9" t="str">
        <f t="shared" si="8"/>
        <v>'name' =&gt; '',    'id' =&gt; '',    'maxlength' =&gt; ,    'value' =&gt; $rsRegistroUEIdent[''],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575</v>
      </c>
      <c r="M35" s="9" t="str">
        <f t="shared" si="6"/>
        <v>,</v>
      </c>
      <c r="N35" s="9" t="str">
        <f t="shared" si="7"/>
        <v>$rsRegistroUEIdent[''] = '';</v>
      </c>
      <c r="O35" s="9" t="str">
        <f t="shared" si="8"/>
        <v>'name' =&gt; '',    'id' =&gt; '',    'maxlength' =&gt; ,    'value' =&gt; $rsRegistroUEIdent[''],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575</v>
      </c>
      <c r="M36" s="9" t="str">
        <f t="shared" si="6"/>
        <v>,</v>
      </c>
      <c r="N36" s="9" t="str">
        <f t="shared" si="7"/>
        <v>$rsRegistroUEIdent[''] = '';</v>
      </c>
      <c r="O36" s="9" t="str">
        <f t="shared" si="8"/>
        <v>'name' =&gt; '',    'id' =&gt; '',    'maxlength' =&gt; ,    'value' =&gt; $rsRegistroUEIdent[''],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575</v>
      </c>
      <c r="M37" s="9" t="str">
        <f t="shared" si="6"/>
        <v>,</v>
      </c>
      <c r="N37" s="9" t="str">
        <f t="shared" si="7"/>
        <v>$rsRegistroUEIdent[''] = '';</v>
      </c>
      <c r="O37" s="9" t="str">
        <f t="shared" si="8"/>
        <v>'name' =&gt; '',    'id' =&gt; '',    'maxlength' =&gt; ,    'value' =&gt; $rsRegistroUEIdent[''],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575</v>
      </c>
      <c r="M38" s="9" t="str">
        <f t="shared" si="6"/>
        <v>,</v>
      </c>
      <c r="N38" s="9" t="str">
        <f t="shared" si="7"/>
        <v>$rsRegistroUEIdent[''] = '';</v>
      </c>
      <c r="O38" s="9" t="str">
        <f t="shared" si="8"/>
        <v>'name' =&gt; '',    'id' =&gt; '',    'maxlength' =&gt; ,    'value' =&gt; $rsRegistroUEIdent[''],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575</v>
      </c>
      <c r="M39" s="9" t="str">
        <f t="shared" si="6"/>
        <v>,</v>
      </c>
      <c r="N39" s="9" t="str">
        <f t="shared" si="7"/>
        <v>$rsRegistroUEIdent[''] = '';</v>
      </c>
      <c r="O39" s="9" t="str">
        <f t="shared" si="8"/>
        <v>'name' =&gt; '',    'id' =&gt; '',    'maxlength' =&gt; ,    'value' =&gt; $rsRegistroUEIdent[''],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575</v>
      </c>
      <c r="M40" s="9" t="str">
        <f t="shared" si="6"/>
        <v>,</v>
      </c>
      <c r="N40" s="9" t="str">
        <f t="shared" si="7"/>
        <v>$rsRegistroUEIdent[''] = '';</v>
      </c>
      <c r="O40" s="9" t="str">
        <f t="shared" si="8"/>
        <v>'name' =&gt; '',    'id' =&gt; '',    'maxlength' =&gt; ,    'value' =&gt; $rsRegistroUEIdent[''],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575</v>
      </c>
      <c r="M41" s="9" t="str">
        <f t="shared" si="6"/>
        <v>,</v>
      </c>
      <c r="N41" s="9" t="str">
        <f t="shared" si="7"/>
        <v>$rsRegistroUEIdent[''] = '';</v>
      </c>
      <c r="O41" s="9" t="str">
        <f t="shared" si="8"/>
        <v>'name' =&gt; '',    'id' =&gt; '',    'maxlength' =&gt; ,    'value' =&gt; $rsRegistroUEIdent[''],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575</v>
      </c>
      <c r="M42" s="9" t="str">
        <f t="shared" si="6"/>
        <v>,</v>
      </c>
      <c r="N42" s="9" t="str">
        <f t="shared" si="7"/>
        <v>$rsRegistroUEIdent[''] = '';</v>
      </c>
      <c r="O42" s="9" t="str">
        <f t="shared" si="8"/>
        <v>'name' =&gt; '',    'id' =&gt; '',    'maxlength' =&gt; ,    'value' =&gt; $rsRegistroUEIdent[''],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575</v>
      </c>
      <c r="M43" s="9" t="str">
        <f t="shared" si="6"/>
        <v>,</v>
      </c>
      <c r="N43" s="9" t="str">
        <f t="shared" si="7"/>
        <v>$rsRegistroUEIdent[''] = '';</v>
      </c>
      <c r="O43" s="9" t="str">
        <f t="shared" si="8"/>
        <v>'name' =&gt; '',    'id' =&gt; '',    'maxlength' =&gt; ,    'value' =&gt; $rsRegistroUEIdent[''],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575</v>
      </c>
      <c r="M44" s="9" t="str">
        <f t="shared" si="6"/>
        <v>,</v>
      </c>
      <c r="N44" s="9" t="str">
        <f t="shared" si="7"/>
        <v>$rsRegistroUEIdent[''] = '';</v>
      </c>
      <c r="O44" s="9" t="str">
        <f t="shared" si="8"/>
        <v>'name' =&gt; '',    'id' =&gt; '',    'maxlength' =&gt; ,    'value' =&gt; $rsRegistroUEIdent[''],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575</v>
      </c>
      <c r="M45" s="9" t="str">
        <f t="shared" si="6"/>
        <v>,</v>
      </c>
      <c r="N45" s="9" t="str">
        <f t="shared" si="7"/>
        <v>$rsRegistroUEIdent[''] = '';</v>
      </c>
      <c r="O45" s="9" t="str">
        <f t="shared" si="8"/>
        <v>'name' =&gt; '',    'id' =&gt; '',    'maxlength' =&gt; ,    'value' =&gt; $rsRegistroUEIdent[''],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575</v>
      </c>
      <c r="M46" s="9" t="str">
        <f t="shared" si="6"/>
        <v>,</v>
      </c>
      <c r="N46" s="9" t="str">
        <f t="shared" si="7"/>
        <v>$rsRegistroUEIdent[''] = '';</v>
      </c>
      <c r="O46" s="9" t="str">
        <f t="shared" si="8"/>
        <v>'name' =&gt; '',    'id' =&gt; '',    'maxlength' =&gt; ,    'value' =&gt; $rsRegistroUEIdent[''],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575</v>
      </c>
      <c r="M47" s="9" t="str">
        <f t="shared" si="6"/>
        <v>,</v>
      </c>
      <c r="N47" s="9" t="str">
        <f t="shared" si="7"/>
        <v>$rsRegistroUEIdent[''] = '';</v>
      </c>
      <c r="O47" s="9" t="str">
        <f t="shared" si="8"/>
        <v>'name' =&gt; '',    'id' =&gt; '',    'maxlength' =&gt; ,    'value' =&gt; $rsRegistroUEIdent[''],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575</v>
      </c>
      <c r="M48" s="9" t="str">
        <f t="shared" si="6"/>
        <v>,</v>
      </c>
      <c r="N48" s="9" t="str">
        <f t="shared" si="7"/>
        <v>$rsRegistroUEIdent[''] = '';</v>
      </c>
      <c r="O48" s="9" t="str">
        <f t="shared" si="8"/>
        <v>'name' =&gt; '',    'id' =&gt; '',    'maxlength' =&gt; ,    'value' =&gt; $rsRegistroUEIdent[''],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575</v>
      </c>
      <c r="M49" s="9" t="str">
        <f t="shared" si="6"/>
        <v>,</v>
      </c>
      <c r="N49" s="9" t="str">
        <f t="shared" si="7"/>
        <v>$rsRegistroUEIdent[''] = '';</v>
      </c>
      <c r="O49" s="9" t="str">
        <f t="shared" si="8"/>
        <v>'name' =&gt; '',    'id' =&gt; '',    'maxlength' =&gt; ,    'value' =&gt; $rsRegistroUEIdent[''],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575</v>
      </c>
      <c r="M50" s="9" t="str">
        <f t="shared" si="6"/>
        <v>,</v>
      </c>
      <c r="N50" s="9" t="str">
        <f t="shared" si="7"/>
        <v>$rsRegistroUEIdent[''] = '';</v>
      </c>
      <c r="O50" s="9" t="str">
        <f t="shared" si="8"/>
        <v>'name' =&gt; '',    'id' =&gt; '',    'maxlength' =&gt; ,    'value' =&gt; $rsRegistroUEIdent[''],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575</v>
      </c>
      <c r="M51" s="9" t="str">
        <f t="shared" si="6"/>
        <v>,</v>
      </c>
      <c r="N51" s="9" t="str">
        <f t="shared" si="7"/>
        <v>$rsRegistroUEIdent[''] = '';</v>
      </c>
      <c r="O51" s="9" t="str">
        <f t="shared" si="8"/>
        <v>'name' =&gt; '',    'id' =&gt; '',    'maxlength' =&gt; ,    'value' =&gt; $rsRegistroUEIdent[''],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575</v>
      </c>
      <c r="M52" s="9" t="str">
        <f t="shared" si="6"/>
        <v>,</v>
      </c>
      <c r="N52" s="9" t="str">
        <f t="shared" si="7"/>
        <v>$rsRegistroUEIdent[''] = '';</v>
      </c>
      <c r="O52" s="9" t="str">
        <f t="shared" si="8"/>
        <v>'name' =&gt; '',    'id' =&gt; '',    'maxlength' =&gt; ,    'value' =&gt; $rsRegistroUEIdent[''],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575</v>
      </c>
      <c r="M53" s="9" t="str">
        <f t="shared" si="6"/>
        <v>,</v>
      </c>
      <c r="N53" s="9" t="str">
        <f t="shared" si="7"/>
        <v>$rsRegistroUEIdent[''] = '';</v>
      </c>
      <c r="O53" s="9" t="str">
        <f t="shared" si="8"/>
        <v>'name' =&gt; '',    'id' =&gt; '',    'maxlength' =&gt; ,    'value' =&gt; $rsRegistroUEIdent[''],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575</v>
      </c>
      <c r="M54" s="9" t="str">
        <f t="shared" si="6"/>
        <v>,</v>
      </c>
      <c r="N54" s="9" t="str">
        <f t="shared" si="7"/>
        <v>$rsRegistroUEIdent[''] = '';</v>
      </c>
      <c r="O54" s="9" t="str">
        <f t="shared" si="8"/>
        <v>'name' =&gt; '',    'id' =&gt; '',    'maxlength' =&gt; ,    'value' =&gt; $rsRegistroUEIdent[''],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575</v>
      </c>
      <c r="M55" s="9" t="str">
        <f t="shared" si="6"/>
        <v>,</v>
      </c>
      <c r="N55" s="9" t="str">
        <f t="shared" si="7"/>
        <v>$rsRegistroUEIdent[''] = '';</v>
      </c>
      <c r="O55" s="9" t="str">
        <f t="shared" si="8"/>
        <v>'name' =&gt; '',    'id' =&gt; '',    'maxlength' =&gt; ,    'value' =&gt; $rsRegistroUEIdent[''],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575</v>
      </c>
      <c r="M56" s="9" t="str">
        <f t="shared" si="6"/>
        <v>,</v>
      </c>
      <c r="N56" s="9" t="str">
        <f t="shared" si="7"/>
        <v>$rsRegistroUEIdent[''] = '';</v>
      </c>
      <c r="O56" s="9" t="str">
        <f t="shared" si="8"/>
        <v>'name' =&gt; '',    'id' =&gt; '',    'maxlength' =&gt; ,    'value' =&gt; $rsRegistroUEIdent[''],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575</v>
      </c>
      <c r="M57" s="9" t="str">
        <f t="shared" si="6"/>
        <v>,</v>
      </c>
      <c r="N57" s="9" t="str">
        <f t="shared" si="7"/>
        <v>$rsRegistroUEIdent[''] = '';</v>
      </c>
      <c r="O57" s="9" t="str">
        <f t="shared" si="8"/>
        <v>'name' =&gt; '',    'id' =&gt; '',    'maxlength' =&gt; ,    'value' =&gt; $rsRegistroUEIdent[''],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575</v>
      </c>
      <c r="M58" s="9" t="str">
        <f t="shared" si="6"/>
        <v>,</v>
      </c>
      <c r="N58" s="9" t="str">
        <f t="shared" si="7"/>
        <v>$rsRegistroUEIdent[''] = '';</v>
      </c>
      <c r="O58" s="9" t="str">
        <f t="shared" si="8"/>
        <v>'name' =&gt; '',    'id' =&gt; '',    'maxlength' =&gt; ,    'value' =&gt; $rsRegistroUEIdent[''],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575</v>
      </c>
      <c r="M59" s="9" t="str">
        <f t="shared" si="6"/>
        <v>,</v>
      </c>
      <c r="N59" s="9" t="str">
        <f t="shared" si="7"/>
        <v>$rsRegistroUEIdent[''] = '';</v>
      </c>
      <c r="O59" s="9" t="str">
        <f t="shared" si="8"/>
        <v>'name' =&gt; '',    'id' =&gt; '',    'maxlength' =&gt; ,    'value' =&gt; $rsRegistroUEIdent[''],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575</v>
      </c>
      <c r="M60" s="9" t="str">
        <f t="shared" si="6"/>
        <v>,</v>
      </c>
      <c r="N60" s="9" t="str">
        <f t="shared" si="7"/>
        <v>$rsRegistroUEIdent[''] = '';</v>
      </c>
      <c r="O60" s="9" t="str">
        <f t="shared" si="8"/>
        <v>'name' =&gt; '',    'id' =&gt; '',    'maxlength' =&gt; ,    'value' =&gt; $rsRegistroUEIdent[''],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575</v>
      </c>
      <c r="M61" s="9" t="str">
        <f t="shared" si="6"/>
        <v>,</v>
      </c>
      <c r="N61" s="9" t="str">
        <f t="shared" si="7"/>
        <v>$rsRegistroUEIdent[''] = '';</v>
      </c>
      <c r="O61" s="9" t="str">
        <f t="shared" si="8"/>
        <v>'name' =&gt; '',    'id' =&gt; '',    'maxlength' =&gt; ,    'value' =&gt; $rsRegistroUEIdent[''],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575</v>
      </c>
      <c r="M62" s="9" t="str">
        <f t="shared" si="6"/>
        <v>,</v>
      </c>
      <c r="N62" s="9" t="str">
        <f t="shared" si="7"/>
        <v>$rsRegistroUEIdent[''] = '';</v>
      </c>
      <c r="O62" s="9" t="str">
        <f t="shared" si="8"/>
        <v>'name' =&gt; '',    'id' =&gt; '',    'maxlength' =&gt; ,    'value' =&gt; $rsRegistroUEIdent[''],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575</v>
      </c>
      <c r="M63" s="9" t="str">
        <f t="shared" si="6"/>
        <v>,</v>
      </c>
      <c r="N63" s="9" t="str">
        <f t="shared" si="7"/>
        <v>$rsRegistroUEIdent[''] = '';</v>
      </c>
      <c r="O63" s="9" t="str">
        <f t="shared" si="8"/>
        <v>'name' =&gt; '',    'id' =&gt; '',    'maxlength' =&gt; ,    'value' =&gt; $rsRegistroUEIdent[''],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575</v>
      </c>
      <c r="M64" s="9" t="str">
        <f t="shared" si="6"/>
        <v>,</v>
      </c>
      <c r="N64" s="9" t="str">
        <f t="shared" si="7"/>
        <v>$rsRegistroUEIdent[''] = '';</v>
      </c>
      <c r="O64" s="9" t="str">
        <f t="shared" si="8"/>
        <v>'name' =&gt; '',    'id' =&gt; '',    'maxlength' =&gt; ,    'value' =&gt; $rsRegistroUEIdent[''],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575</v>
      </c>
      <c r="M65" s="9" t="str">
        <f t="shared" si="6"/>
        <v>,</v>
      </c>
      <c r="N65" s="9" t="str">
        <f t="shared" si="7"/>
        <v>$rsRegistroUEIdent[''] = '';</v>
      </c>
      <c r="O65" s="9" t="str">
        <f t="shared" si="8"/>
        <v>'name' =&gt; '',    'id' =&gt; '',    'maxlength' =&gt; ,    'value' =&gt; $rsRegistroUEIdent[''],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575</v>
      </c>
      <c r="M66" s="9" t="str">
        <f t="shared" si="6"/>
        <v>,</v>
      </c>
      <c r="N66" s="9" t="str">
        <f t="shared" si="7"/>
        <v>$rsRegistroUEIdent[''] = '';</v>
      </c>
      <c r="O66" s="9" t="str">
        <f t="shared" si="8"/>
        <v>'name' =&gt; '',    'id' =&gt; '',    'maxlength' =&gt; ,    'value' =&gt; $rsRegistroUEIdent[''],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575</v>
      </c>
      <c r="M67" s="9" t="str">
        <f t="shared" si="6"/>
        <v>,</v>
      </c>
      <c r="N67" s="9" t="str">
        <f t="shared" si="7"/>
        <v>$rsRegistroUEIdent[''] = '';</v>
      </c>
      <c r="O67" s="9" t="str">
        <f t="shared" si="8"/>
        <v>'name' =&gt; '',    'id' =&gt; '',    'maxlength' =&gt; ,    'value' =&gt; $rsRegistroUEIdent[''],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575</v>
      </c>
      <c r="M68" s="9" t="str">
        <f t="shared" si="6"/>
        <v>,</v>
      </c>
      <c r="N68" s="9" t="str">
        <f t="shared" si="7"/>
        <v>$rsRegistroUEIdent[''] = '';</v>
      </c>
      <c r="O68" s="9" t="str">
        <f t="shared" si="8"/>
        <v>'name' =&gt; '',    'id' =&gt; '',    'maxlength' =&gt; ,    'value' =&gt; $rsRegistroUEIdent[''],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575</v>
      </c>
      <c r="M69" s="9" t="str">
        <f t="shared" si="6"/>
        <v>,</v>
      </c>
      <c r="N69" s="9" t="str">
        <f t="shared" si="7"/>
        <v>$rsRegistroUEIdent[''] = '';</v>
      </c>
      <c r="O69" s="9" t="str">
        <f t="shared" si="8"/>
        <v>'name' =&gt; '',    'id' =&gt; '',    'maxlength' =&gt; ,    'value' =&gt; $rsRegistroUEIdent[''],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575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$rsRegistroUEIdent['']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$rsRegistroUEIdent[''],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575</v>
      </c>
      <c r="M71" s="9" t="str">
        <f t="shared" si="20"/>
        <v>,</v>
      </c>
      <c r="N71" s="9" t="str">
        <f t="shared" si="21"/>
        <v>$rsRegistroUEIdent[''] = '';</v>
      </c>
      <c r="O71" s="9" t="str">
        <f t="shared" si="22"/>
        <v>'name' =&gt; '',    'id' =&gt; '',    'maxlength' =&gt; ,    'value' =&gt; $rsRegistroUEIdent[''],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575</v>
      </c>
      <c r="M72" s="9" t="str">
        <f t="shared" si="20"/>
        <v>,</v>
      </c>
      <c r="N72" s="9" t="str">
        <f t="shared" si="21"/>
        <v>$rsRegistroUEIdent[''] = '';</v>
      </c>
      <c r="O72" s="9" t="str">
        <f t="shared" si="22"/>
        <v>'name' =&gt; '',    'id' =&gt; '',    'maxlength' =&gt; ,    'value' =&gt; $rsRegistroUEIdent[''],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575</v>
      </c>
      <c r="M73" s="9" t="str">
        <f t="shared" si="20"/>
        <v>,</v>
      </c>
      <c r="N73" s="9" t="str">
        <f t="shared" si="21"/>
        <v>$rsRegistroUEIdent[''] = '';</v>
      </c>
      <c r="O73" s="9" t="str">
        <f t="shared" si="22"/>
        <v>'name' =&gt; '',    'id' =&gt; '',    'maxlength' =&gt; ,    'value' =&gt; $rsRegistroUEIdent[''],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575</v>
      </c>
      <c r="M74" s="9" t="str">
        <f t="shared" si="20"/>
        <v>,</v>
      </c>
      <c r="N74" s="9" t="str">
        <f t="shared" si="21"/>
        <v>$rsRegistroUEIdent[''] = '';</v>
      </c>
      <c r="O74" s="9" t="str">
        <f t="shared" si="22"/>
        <v>'name' =&gt; '',    'id' =&gt; '',    'maxlength' =&gt; ,    'value' =&gt; $rsRegistroUEIdent[''],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575</v>
      </c>
      <c r="M75" s="9" t="str">
        <f t="shared" si="20"/>
        <v>,</v>
      </c>
      <c r="N75" s="9" t="str">
        <f t="shared" si="21"/>
        <v>$rsRegistroUEIdent[''] = '';</v>
      </c>
      <c r="O75" s="9" t="str">
        <f t="shared" si="22"/>
        <v>'name' =&gt; '',    'id' =&gt; '',    'maxlength' =&gt; ,    'value' =&gt; $rsRegistroUEIdent[''],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575</v>
      </c>
      <c r="M76" s="9" t="str">
        <f t="shared" si="20"/>
        <v>,</v>
      </c>
      <c r="N76" s="9" t="str">
        <f t="shared" si="21"/>
        <v>$rsRegistroUEIdent[''] = '';</v>
      </c>
      <c r="O76" s="9" t="str">
        <f t="shared" si="22"/>
        <v>'name' =&gt; '',    'id' =&gt; '',    'maxlength' =&gt; ,    'value' =&gt; $rsRegistroUEIdent[''],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575</v>
      </c>
      <c r="M77" s="9" t="str">
        <f t="shared" si="20"/>
        <v>,</v>
      </c>
      <c r="N77" s="9" t="str">
        <f t="shared" si="21"/>
        <v>$rsRegistroUEIdent[''] = '';</v>
      </c>
      <c r="O77" s="9" t="str">
        <f t="shared" si="22"/>
        <v>'name' =&gt; '',    'id' =&gt; '',    'maxlength' =&gt; ,    'value' =&gt; $rsRegistroUEIdent[''],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575</v>
      </c>
      <c r="M78" s="9" t="str">
        <f t="shared" si="20"/>
        <v>,</v>
      </c>
      <c r="N78" s="9" t="str">
        <f t="shared" si="21"/>
        <v>$rsRegistroUEIdent[''] = '';</v>
      </c>
      <c r="O78" s="9" t="str">
        <f t="shared" si="22"/>
        <v>'name' =&gt; '',    'id' =&gt; '',    'maxlength' =&gt; ,    'value' =&gt; $rsRegistroUEIdent[''],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575</v>
      </c>
      <c r="M79" s="9" t="str">
        <f t="shared" si="20"/>
        <v>,</v>
      </c>
      <c r="N79" s="9" t="str">
        <f t="shared" si="21"/>
        <v>$rsRegistroUEIdent[''] = '';</v>
      </c>
      <c r="O79" s="9" t="str">
        <f t="shared" si="22"/>
        <v>'name' =&gt; '',    'id' =&gt; '',    'maxlength' =&gt; ,    'value' =&gt; $rsRegistroUEIdent[''],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575</v>
      </c>
      <c r="M80" s="9" t="str">
        <f t="shared" si="20"/>
        <v>,</v>
      </c>
      <c r="N80" s="9" t="str">
        <f t="shared" si="21"/>
        <v>$rsRegistroUEIdent[''] = '';</v>
      </c>
      <c r="O80" s="9" t="str">
        <f t="shared" si="22"/>
        <v>'name' =&gt; '',    'id' =&gt; '',    'maxlength' =&gt; ,    'value' =&gt; $rsRegistroUEIdent[''],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575</v>
      </c>
      <c r="M81" s="9" t="str">
        <f t="shared" si="20"/>
        <v>,</v>
      </c>
      <c r="N81" s="9" t="str">
        <f t="shared" si="21"/>
        <v>$rsRegistroUEIdent[''] = '';</v>
      </c>
      <c r="O81" s="9" t="str">
        <f t="shared" si="22"/>
        <v>'name' =&gt; '',    'id' =&gt; '',    'maxlength' =&gt; ,    'value' =&gt; $rsRegistroUEIdent[''],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575</v>
      </c>
      <c r="M82" s="9" t="str">
        <f t="shared" si="20"/>
        <v>,</v>
      </c>
      <c r="N82" s="9" t="str">
        <f t="shared" si="21"/>
        <v>$rsRegistroUEIdent[''] = '';</v>
      </c>
      <c r="O82" s="9" t="str">
        <f t="shared" si="22"/>
        <v>'name' =&gt; '',    'id' =&gt; '',    'maxlength' =&gt; ,    'value' =&gt; $rsRegistroUEIdent[''],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575</v>
      </c>
      <c r="M83" s="9" t="str">
        <f t="shared" si="20"/>
        <v>,</v>
      </c>
      <c r="N83" s="9" t="str">
        <f t="shared" si="21"/>
        <v>$rsRegistroUEIdent[''] = '';</v>
      </c>
      <c r="O83" s="9" t="str">
        <f t="shared" si="22"/>
        <v>'name' =&gt; '',    'id' =&gt; '',    'maxlength' =&gt; ,    'value' =&gt; $rsRegistroUEIdent[''],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575</v>
      </c>
      <c r="M84" s="9" t="str">
        <f t="shared" si="20"/>
        <v>,</v>
      </c>
      <c r="N84" s="9" t="str">
        <f t="shared" si="21"/>
        <v>$rsRegistroUEIdent[''] = '';</v>
      </c>
      <c r="O84" s="9" t="str">
        <f t="shared" si="22"/>
        <v>'name' =&gt; '',    'id' =&gt; '',    'maxlength' =&gt; ,    'value' =&gt; $rsRegistroUEIdent[''],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575</v>
      </c>
      <c r="M85" s="9" t="str">
        <f t="shared" si="20"/>
        <v>,</v>
      </c>
      <c r="N85" s="9" t="str">
        <f t="shared" si="21"/>
        <v>$rsRegistroUEIdent[''] = '';</v>
      </c>
      <c r="O85" s="9" t="str">
        <f t="shared" si="22"/>
        <v>'name' =&gt; '',    'id' =&gt; '',    'maxlength' =&gt; ,    'value' =&gt; $rsRegistroUEIdent[''],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575</v>
      </c>
      <c r="M86" s="9" t="str">
        <f t="shared" si="20"/>
        <v>,</v>
      </c>
      <c r="N86" s="9" t="str">
        <f t="shared" si="21"/>
        <v>$rsRegistroUEIdent[''] = '';</v>
      </c>
      <c r="O86" s="9" t="str">
        <f t="shared" si="22"/>
        <v>'name' =&gt; '',    'id' =&gt; '',    'maxlength' =&gt; ,    'value' =&gt; $rsRegistroUEIdent[''],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575</v>
      </c>
      <c r="M87" s="9" t="str">
        <f t="shared" si="20"/>
        <v>,</v>
      </c>
      <c r="N87" s="9" t="str">
        <f t="shared" si="21"/>
        <v>$rsRegistroUEIdent[''] = '';</v>
      </c>
      <c r="O87" s="9" t="str">
        <f t="shared" si="22"/>
        <v>'name' =&gt; '',    'id' =&gt; '',    'maxlength' =&gt; ,    'value' =&gt; $rsRegistroUEIdent[''],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575</v>
      </c>
      <c r="M88" s="9" t="str">
        <f t="shared" si="20"/>
        <v>,</v>
      </c>
      <c r="N88" s="9" t="str">
        <f t="shared" si="21"/>
        <v>$rsRegistroUEIdent[''] = '';</v>
      </c>
      <c r="O88" s="9" t="str">
        <f t="shared" si="22"/>
        <v>'name' =&gt; '',    'id' =&gt; '',    'maxlength' =&gt; ,    'value' =&gt; $rsRegistroUEIdent[''],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575</v>
      </c>
      <c r="M89" s="9" t="str">
        <f t="shared" si="20"/>
        <v>,</v>
      </c>
      <c r="N89" s="9" t="str">
        <f t="shared" si="21"/>
        <v>$rsRegistroUEIdent[''] = '';</v>
      </c>
      <c r="O89" s="9" t="str">
        <f t="shared" si="22"/>
        <v>'name' =&gt; '',    'id' =&gt; '',    'maxlength' =&gt; ,    'value' =&gt; $rsRegistroUEIdent[''],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575</v>
      </c>
      <c r="M90" s="9" t="str">
        <f t="shared" si="20"/>
        <v>,</v>
      </c>
      <c r="N90" s="9" t="str">
        <f t="shared" si="21"/>
        <v>$rsRegistroUEIdent[''] = '';</v>
      </c>
      <c r="O90" s="9" t="str">
        <f t="shared" si="22"/>
        <v>'name' =&gt; '',    'id' =&gt; '',    'maxlength' =&gt; ,    'value' =&gt; $rsRegistroUEIdent[''],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575</v>
      </c>
      <c r="M91" s="9" t="str">
        <f t="shared" si="20"/>
        <v>,</v>
      </c>
      <c r="N91" s="9" t="str">
        <f t="shared" si="21"/>
        <v>$rsRegistroUEIdent[''] = '';</v>
      </c>
      <c r="O91" s="9" t="str">
        <f t="shared" si="22"/>
        <v>'name' =&gt; '',    'id' =&gt; '',    'maxlength' =&gt; ,    'value' =&gt; $rsRegistroUEIdent[''],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575</v>
      </c>
      <c r="M92" s="9" t="str">
        <f t="shared" si="20"/>
        <v>,</v>
      </c>
      <c r="N92" s="9" t="str">
        <f t="shared" si="21"/>
        <v>$rsRegistroUEIdent[''] = '';</v>
      </c>
      <c r="O92" s="9" t="str">
        <f t="shared" si="22"/>
        <v>'name' =&gt; '',    'id' =&gt; '',    'maxlength' =&gt; ,    'value' =&gt; $rsRegistroUEIdent[''],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575</v>
      </c>
      <c r="M93" s="9" t="str">
        <f t="shared" si="20"/>
        <v>,</v>
      </c>
      <c r="N93" s="9" t="str">
        <f t="shared" si="21"/>
        <v>$rsRegistroUEIdent[''] = '';</v>
      </c>
      <c r="O93" s="9" t="str">
        <f t="shared" si="22"/>
        <v>'name' =&gt; '',    'id' =&gt; '',    'maxlength' =&gt; ,    'value' =&gt; $rsRegistroUEIdent[''],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575</v>
      </c>
      <c r="M94" s="9" t="str">
        <f t="shared" si="20"/>
        <v>,</v>
      </c>
      <c r="N94" s="9" t="str">
        <f t="shared" si="21"/>
        <v>$rsRegistroUEIdent[''] = '';</v>
      </c>
      <c r="O94" s="9" t="str">
        <f t="shared" si="22"/>
        <v>'name' =&gt; '',    'id' =&gt; '',    'maxlength' =&gt; ,    'value' =&gt; $rsRegistroUEIdent[''],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575</v>
      </c>
      <c r="M95" s="9" t="str">
        <f t="shared" si="20"/>
        <v>,</v>
      </c>
      <c r="N95" s="9" t="str">
        <f t="shared" si="21"/>
        <v>$rsRegistroUEIdent[''] = '';</v>
      </c>
      <c r="O95" s="9" t="str">
        <f t="shared" si="22"/>
        <v>'name' =&gt; '',    'id' =&gt; '',    'maxlength' =&gt; ,    'value' =&gt; $rsRegistroUEIdent[''],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575</v>
      </c>
      <c r="M96" s="9" t="str">
        <f t="shared" si="20"/>
        <v>,</v>
      </c>
      <c r="N96" s="9" t="str">
        <f t="shared" si="21"/>
        <v>$rsRegistroUEIdent[''] = '';</v>
      </c>
      <c r="O96" s="9" t="str">
        <f t="shared" si="22"/>
        <v>'name' =&gt; '',    'id' =&gt; '',    'maxlength' =&gt; ,    'value' =&gt; $rsRegistroUEIdent[''],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575</v>
      </c>
      <c r="M97" s="9" t="str">
        <f t="shared" si="20"/>
        <v>,</v>
      </c>
      <c r="N97" s="9" t="str">
        <f t="shared" si="21"/>
        <v>$rsRegistroUEIdent[''] = '';</v>
      </c>
      <c r="O97" s="9" t="str">
        <f t="shared" si="22"/>
        <v>'name' =&gt; '',    'id' =&gt; '',    'maxlength' =&gt; ,    'value' =&gt; $rsRegistroUEIdent[''],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575</v>
      </c>
      <c r="M98" s="9" t="str">
        <f t="shared" si="20"/>
        <v>,</v>
      </c>
      <c r="N98" s="9" t="str">
        <f t="shared" si="21"/>
        <v>$rsRegistroUEIdent[''] = '';</v>
      </c>
      <c r="O98" s="9" t="str">
        <f t="shared" si="22"/>
        <v>'name' =&gt; '',    'id' =&gt; '',    'maxlength' =&gt; ,    'value' =&gt; $rsRegistroUEIdent[''],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575</v>
      </c>
      <c r="M99" s="9" t="str">
        <f t="shared" si="20"/>
        <v>,</v>
      </c>
      <c r="N99" s="9" t="str">
        <f t="shared" si="21"/>
        <v>$rsRegistroUEIdent[''] = '';</v>
      </c>
      <c r="O99" s="9" t="str">
        <f t="shared" si="22"/>
        <v>'name' =&gt; '',    'id' =&gt; '',    'maxlength' =&gt; ,    'value' =&gt; $rsRegistroUEIdent[''],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575</v>
      </c>
      <c r="M100" s="9" t="str">
        <f t="shared" si="20"/>
        <v>,</v>
      </c>
      <c r="N100" s="9" t="str">
        <f t="shared" si="21"/>
        <v>$rsRegistroUEIdent[''] = '';</v>
      </c>
      <c r="O100" s="9" t="str">
        <f t="shared" si="22"/>
        <v>'name' =&gt; '',    'id' =&gt; '',    'maxlength' =&gt; ,    'value' =&gt; $rsRegistroUEIdent[''],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575</v>
      </c>
      <c r="M101" s="9" t="str">
        <f t="shared" si="20"/>
        <v>,</v>
      </c>
      <c r="N101" s="9" t="str">
        <f t="shared" si="21"/>
        <v>$rsRegistroUEIdent[''] = '';</v>
      </c>
      <c r="O101" s="9" t="str">
        <f t="shared" si="22"/>
        <v>'name' =&gt; '',    'id' =&gt; '',    'maxlength' =&gt; ,    'value' =&gt; $rsRegistroUEIdent[''],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575</v>
      </c>
      <c r="M102" s="9" t="str">
        <f t="shared" si="20"/>
        <v>,</v>
      </c>
      <c r="N102" s="9" t="str">
        <f t="shared" si="21"/>
        <v>$rsRegistroUEIdent[''] = '';</v>
      </c>
      <c r="O102" s="9" t="str">
        <f t="shared" si="22"/>
        <v>'name' =&gt; '',    'id' =&gt; '',    'maxlength' =&gt; ,    'value' =&gt; $rsRegistroUEIdent[''],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575</v>
      </c>
      <c r="M103" s="9" t="str">
        <f t="shared" si="20"/>
        <v>,</v>
      </c>
      <c r="N103" s="9" t="str">
        <f t="shared" si="21"/>
        <v>$rsRegistroUEIdent[''] = '';</v>
      </c>
      <c r="O103" s="9" t="str">
        <f t="shared" si="22"/>
        <v>'name' =&gt; '',    'id' =&gt; '',    'maxlength' =&gt; ,    'value' =&gt; $rsRegistroUEIdent[''],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575</v>
      </c>
      <c r="M104" s="11" t="str">
        <f t="shared" si="20"/>
        <v>,</v>
      </c>
      <c r="N104" s="11" t="str">
        <f t="shared" si="21"/>
        <v>$rsRegistroUEIdent[''] = '';</v>
      </c>
      <c r="O104" s="11" t="str">
        <f t="shared" si="22"/>
        <v>'name' =&gt; '',    'id' =&gt; '',    'maxlength' =&gt; ,    'value' =&gt; $rsRegistroUEIdent[''],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A1:F1"/>
    <mergeCell ref="I3:I4"/>
    <mergeCell ref="H3:H4"/>
    <mergeCell ref="G3:G4"/>
    <mergeCell ref="F3:F4"/>
    <mergeCell ref="E3:E4"/>
    <mergeCell ref="D3:D4"/>
    <mergeCell ref="C3:C4"/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Planilha1</vt:lpstr>
      <vt:lpstr>UseCases</vt:lpstr>
      <vt:lpstr>UseCaseUE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2025-09-26T20:02:11Z</dcterms:modified>
</cp:coreProperties>
</file>