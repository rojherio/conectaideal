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delfos/Projeto/"/>
    </mc:Choice>
  </mc:AlternateContent>
  <xr:revisionPtr revIDLastSave="0" documentId="13_ncr:1_{36295EAC-D274-9849-8A1D-2790BC562056}" xr6:coauthVersionLast="47" xr6:coauthVersionMax="47" xr10:uidLastSave="{00000000-0000-0000-0000-000000000000}"/>
  <bookViews>
    <workbookView xWindow="38400" yWindow="500" windowWidth="19200" windowHeight="35500" activeTab="2" xr2:uid="{65F3778F-F7A3-5945-852B-B3CE144BC84D}"/>
  </bookViews>
  <sheets>
    <sheet name="Geral" sheetId="1" r:id="rId1"/>
    <sheet name="UseCases" sheetId="3" r:id="rId2"/>
    <sheet name="UseCaseUE" sheetId="5" r:id="rId3"/>
    <sheet name="GeradorPH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4" i="2" l="1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G5" i="2"/>
  <c r="H104" i="2"/>
  <c r="G104" i="2"/>
  <c r="F104" i="2"/>
  <c r="J104" i="2" s="1"/>
  <c r="H103" i="2"/>
  <c r="G103" i="2"/>
  <c r="F103" i="2"/>
  <c r="J103" i="2" s="1"/>
  <c r="H102" i="2"/>
  <c r="G102" i="2"/>
  <c r="F102" i="2"/>
  <c r="J102" i="2" s="1"/>
  <c r="H101" i="2"/>
  <c r="G101" i="2"/>
  <c r="F101" i="2"/>
  <c r="J101" i="2" s="1"/>
  <c r="H100" i="2"/>
  <c r="G100" i="2"/>
  <c r="F100" i="2"/>
  <c r="J100" i="2" s="1"/>
  <c r="H99" i="2"/>
  <c r="G99" i="2"/>
  <c r="F99" i="2"/>
  <c r="J99" i="2" s="1"/>
  <c r="H98" i="2"/>
  <c r="G98" i="2"/>
  <c r="F98" i="2"/>
  <c r="J98" i="2" s="1"/>
  <c r="H97" i="2"/>
  <c r="G97" i="2"/>
  <c r="F97" i="2"/>
  <c r="J97" i="2" s="1"/>
  <c r="H96" i="2"/>
  <c r="G96" i="2"/>
  <c r="F96" i="2"/>
  <c r="J96" i="2" s="1"/>
  <c r="H95" i="2"/>
  <c r="G95" i="2"/>
  <c r="F95" i="2"/>
  <c r="J95" i="2" s="1"/>
  <c r="H94" i="2"/>
  <c r="G94" i="2"/>
  <c r="F94" i="2"/>
  <c r="J94" i="2" s="1"/>
  <c r="H93" i="2"/>
  <c r="G93" i="2"/>
  <c r="F93" i="2"/>
  <c r="J93" i="2" s="1"/>
  <c r="H92" i="2"/>
  <c r="G92" i="2"/>
  <c r="F92" i="2"/>
  <c r="J92" i="2" s="1"/>
  <c r="H91" i="2"/>
  <c r="G91" i="2"/>
  <c r="F91" i="2"/>
  <c r="J91" i="2" s="1"/>
  <c r="H90" i="2"/>
  <c r="G90" i="2"/>
  <c r="F90" i="2"/>
  <c r="J90" i="2" s="1"/>
  <c r="H89" i="2"/>
  <c r="G89" i="2"/>
  <c r="F89" i="2"/>
  <c r="K89" i="2" s="1"/>
  <c r="H88" i="2"/>
  <c r="G88" i="2"/>
  <c r="F88" i="2"/>
  <c r="J88" i="2" s="1"/>
  <c r="H87" i="2"/>
  <c r="G87" i="2"/>
  <c r="F87" i="2"/>
  <c r="J87" i="2" s="1"/>
  <c r="H86" i="2"/>
  <c r="G86" i="2"/>
  <c r="F86" i="2"/>
  <c r="J86" i="2" s="1"/>
  <c r="H85" i="2"/>
  <c r="G85" i="2"/>
  <c r="F85" i="2"/>
  <c r="J85" i="2" s="1"/>
  <c r="H84" i="2"/>
  <c r="G84" i="2"/>
  <c r="F84" i="2"/>
  <c r="J84" i="2" s="1"/>
  <c r="H83" i="2"/>
  <c r="G83" i="2"/>
  <c r="F83" i="2"/>
  <c r="J83" i="2" s="1"/>
  <c r="H82" i="2"/>
  <c r="G82" i="2"/>
  <c r="F82" i="2"/>
  <c r="J82" i="2" s="1"/>
  <c r="H81" i="2"/>
  <c r="G81" i="2"/>
  <c r="F81" i="2"/>
  <c r="J81" i="2" s="1"/>
  <c r="H80" i="2"/>
  <c r="G80" i="2"/>
  <c r="F80" i="2"/>
  <c r="J80" i="2" s="1"/>
  <c r="H79" i="2"/>
  <c r="G79" i="2"/>
  <c r="F79" i="2"/>
  <c r="J79" i="2" s="1"/>
  <c r="H78" i="2"/>
  <c r="G78" i="2"/>
  <c r="F78" i="2"/>
  <c r="J78" i="2" s="1"/>
  <c r="H77" i="2"/>
  <c r="G77" i="2"/>
  <c r="F77" i="2"/>
  <c r="J77" i="2" s="1"/>
  <c r="H76" i="2"/>
  <c r="G76" i="2"/>
  <c r="F76" i="2"/>
  <c r="J76" i="2" s="1"/>
  <c r="H75" i="2"/>
  <c r="G75" i="2"/>
  <c r="F75" i="2"/>
  <c r="J75" i="2" s="1"/>
  <c r="H74" i="2"/>
  <c r="G74" i="2"/>
  <c r="F74" i="2"/>
  <c r="J74" i="2" s="1"/>
  <c r="H73" i="2"/>
  <c r="G73" i="2"/>
  <c r="F73" i="2"/>
  <c r="J73" i="2" s="1"/>
  <c r="H72" i="2"/>
  <c r="G72" i="2"/>
  <c r="F72" i="2"/>
  <c r="J72" i="2" s="1"/>
  <c r="H71" i="2"/>
  <c r="G71" i="2"/>
  <c r="F71" i="2"/>
  <c r="J71" i="2" s="1"/>
  <c r="H70" i="2"/>
  <c r="G70" i="2"/>
  <c r="F70" i="2"/>
  <c r="J70" i="2" s="1"/>
  <c r="H69" i="2"/>
  <c r="G69" i="2"/>
  <c r="F69" i="2"/>
  <c r="J69" i="2" s="1"/>
  <c r="H68" i="2"/>
  <c r="G68" i="2"/>
  <c r="F68" i="2"/>
  <c r="J68" i="2" s="1"/>
  <c r="H67" i="2"/>
  <c r="G67" i="2"/>
  <c r="F67" i="2"/>
  <c r="J67" i="2" s="1"/>
  <c r="H66" i="2"/>
  <c r="G66" i="2"/>
  <c r="F66" i="2"/>
  <c r="J66" i="2" s="1"/>
  <c r="H65" i="2"/>
  <c r="G65" i="2"/>
  <c r="F65" i="2"/>
  <c r="J65" i="2" s="1"/>
  <c r="H64" i="2"/>
  <c r="G64" i="2"/>
  <c r="F64" i="2"/>
  <c r="J64" i="2" s="1"/>
  <c r="H63" i="2"/>
  <c r="G63" i="2"/>
  <c r="F63" i="2"/>
  <c r="J63" i="2" s="1"/>
  <c r="H62" i="2"/>
  <c r="G62" i="2"/>
  <c r="F62" i="2"/>
  <c r="J62" i="2" s="1"/>
  <c r="H61" i="2"/>
  <c r="G61" i="2"/>
  <c r="F61" i="2"/>
  <c r="J61" i="2" s="1"/>
  <c r="H60" i="2"/>
  <c r="G60" i="2"/>
  <c r="F60" i="2"/>
  <c r="J60" i="2" s="1"/>
  <c r="H59" i="2"/>
  <c r="G59" i="2"/>
  <c r="F59" i="2"/>
  <c r="J59" i="2" s="1"/>
  <c r="H58" i="2"/>
  <c r="G58" i="2"/>
  <c r="F58" i="2"/>
  <c r="J58" i="2" s="1"/>
  <c r="H57" i="2"/>
  <c r="G57" i="2"/>
  <c r="F57" i="2"/>
  <c r="J57" i="2" s="1"/>
  <c r="H56" i="2"/>
  <c r="G56" i="2"/>
  <c r="F56" i="2"/>
  <c r="O56" i="2" s="1"/>
  <c r="H55" i="2"/>
  <c r="G55" i="2"/>
  <c r="F55" i="2"/>
  <c r="O55" i="2" s="1"/>
  <c r="H54" i="2"/>
  <c r="G54" i="2"/>
  <c r="F54" i="2"/>
  <c r="O54" i="2" s="1"/>
  <c r="H53" i="2"/>
  <c r="G53" i="2"/>
  <c r="F53" i="2"/>
  <c r="O53" i="2" s="1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N48" i="2" s="1"/>
  <c r="H47" i="2"/>
  <c r="G47" i="2"/>
  <c r="F47" i="2"/>
  <c r="N47" i="2" s="1"/>
  <c r="H46" i="2"/>
  <c r="G46" i="2"/>
  <c r="F46" i="2"/>
  <c r="N46" i="2" s="1"/>
  <c r="H45" i="2"/>
  <c r="G45" i="2"/>
  <c r="F45" i="2"/>
  <c r="N45" i="2" s="1"/>
  <c r="H44" i="2"/>
  <c r="G44" i="2"/>
  <c r="F44" i="2"/>
  <c r="O44" i="2" s="1"/>
  <c r="H43" i="2"/>
  <c r="G43" i="2"/>
  <c r="F43" i="2"/>
  <c r="O43" i="2" s="1"/>
  <c r="H42" i="2"/>
  <c r="G42" i="2"/>
  <c r="F42" i="2"/>
  <c r="O42" i="2" s="1"/>
  <c r="H41" i="2"/>
  <c r="G41" i="2"/>
  <c r="F41" i="2"/>
  <c r="O41" i="2" s="1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N36" i="2" s="1"/>
  <c r="H35" i="2"/>
  <c r="G35" i="2"/>
  <c r="F35" i="2"/>
  <c r="N35" i="2" s="1"/>
  <c r="H34" i="2"/>
  <c r="G34" i="2"/>
  <c r="F34" i="2"/>
  <c r="J34" i="2" s="1"/>
  <c r="H32" i="2"/>
  <c r="G32" i="2"/>
  <c r="F32" i="2"/>
  <c r="J32" i="2" s="1"/>
  <c r="H31" i="2"/>
  <c r="G31" i="2"/>
  <c r="F31" i="2"/>
  <c r="J31" i="2" s="1"/>
  <c r="H30" i="2"/>
  <c r="G30" i="2"/>
  <c r="F30" i="2"/>
  <c r="J30" i="2" s="1"/>
  <c r="H29" i="2"/>
  <c r="G29" i="2"/>
  <c r="F29" i="2"/>
  <c r="J29" i="2" s="1"/>
  <c r="H28" i="2"/>
  <c r="G28" i="2"/>
  <c r="F28" i="2"/>
  <c r="J28" i="2" s="1"/>
  <c r="H27" i="2"/>
  <c r="G27" i="2"/>
  <c r="F27" i="2"/>
  <c r="J27" i="2" s="1"/>
  <c r="H26" i="2"/>
  <c r="G26" i="2"/>
  <c r="F26" i="2"/>
  <c r="J26" i="2" s="1"/>
  <c r="H25" i="2"/>
  <c r="G25" i="2"/>
  <c r="F25" i="2"/>
  <c r="J25" i="2" s="1"/>
  <c r="H24" i="2"/>
  <c r="G24" i="2"/>
  <c r="F24" i="2"/>
  <c r="J24" i="2" s="1"/>
  <c r="H23" i="2"/>
  <c r="G23" i="2"/>
  <c r="F23" i="2"/>
  <c r="J23" i="2" s="1"/>
  <c r="H22" i="2"/>
  <c r="G22" i="2"/>
  <c r="F22" i="2"/>
  <c r="J22" i="2" s="1"/>
  <c r="H21" i="2"/>
  <c r="G21" i="2"/>
  <c r="F21" i="2"/>
  <c r="J21" i="2" s="1"/>
  <c r="H20" i="2"/>
  <c r="G20" i="2"/>
  <c r="F20" i="2"/>
  <c r="J20" i="2" s="1"/>
  <c r="H19" i="2"/>
  <c r="G19" i="2"/>
  <c r="F19" i="2"/>
  <c r="J19" i="2" s="1"/>
  <c r="H18" i="2"/>
  <c r="G18" i="2"/>
  <c r="F18" i="2"/>
  <c r="J18" i="2" s="1"/>
  <c r="H17" i="2"/>
  <c r="G17" i="2"/>
  <c r="F17" i="2"/>
  <c r="J17" i="2" s="1"/>
  <c r="H16" i="2"/>
  <c r="G16" i="2"/>
  <c r="F16" i="2"/>
  <c r="J16" i="2" s="1"/>
  <c r="H15" i="2"/>
  <c r="G15" i="2"/>
  <c r="F15" i="2"/>
  <c r="J15" i="2" s="1"/>
  <c r="H14" i="2"/>
  <c r="G14" i="2"/>
  <c r="F14" i="2"/>
  <c r="J14" i="2" s="1"/>
  <c r="H13" i="2"/>
  <c r="G13" i="2"/>
  <c r="F13" i="2"/>
  <c r="J13" i="2" s="1"/>
  <c r="H12" i="2"/>
  <c r="G12" i="2"/>
  <c r="F12" i="2"/>
  <c r="J12" i="2" s="1"/>
  <c r="H11" i="2"/>
  <c r="G11" i="2"/>
  <c r="F11" i="2"/>
  <c r="J11" i="2" s="1"/>
  <c r="H10" i="2"/>
  <c r="G10" i="2"/>
  <c r="F10" i="2"/>
  <c r="J10" i="2" s="1"/>
  <c r="H9" i="2"/>
  <c r="G9" i="2"/>
  <c r="F9" i="2"/>
  <c r="J9" i="2" s="1"/>
  <c r="H8" i="2"/>
  <c r="G8" i="2"/>
  <c r="F8" i="2"/>
  <c r="J8" i="2" s="1"/>
  <c r="H7" i="2"/>
  <c r="G7" i="2"/>
  <c r="F7" i="2"/>
  <c r="J7" i="2" s="1"/>
  <c r="H6" i="2"/>
  <c r="G6" i="2"/>
  <c r="F6" i="2"/>
  <c r="J6" i="2" s="1"/>
  <c r="H5" i="2"/>
  <c r="F5" i="2"/>
  <c r="J5" i="2" s="1"/>
  <c r="G33" i="2"/>
  <c r="F33" i="2"/>
  <c r="J33" i="2" s="1"/>
  <c r="H33" i="2"/>
  <c r="N61" i="2" l="1"/>
  <c r="N62" i="2"/>
  <c r="N98" i="2"/>
  <c r="O9" i="2"/>
  <c r="N73" i="2"/>
  <c r="O57" i="2"/>
  <c r="O58" i="2"/>
  <c r="N99" i="2"/>
  <c r="O69" i="2"/>
  <c r="O70" i="2"/>
  <c r="N50" i="2"/>
  <c r="N51" i="2"/>
  <c r="O59" i="2"/>
  <c r="O10" i="2"/>
  <c r="L60" i="2"/>
  <c r="N13" i="2"/>
  <c r="N63" i="2"/>
  <c r="O21" i="2"/>
  <c r="N14" i="2"/>
  <c r="O22" i="2"/>
  <c r="O71" i="2"/>
  <c r="N25" i="2"/>
  <c r="N74" i="2"/>
  <c r="O33" i="2"/>
  <c r="O81" i="2"/>
  <c r="N26" i="2"/>
  <c r="N75" i="2"/>
  <c r="O34" i="2"/>
  <c r="O82" i="2"/>
  <c r="N37" i="2"/>
  <c r="N85" i="2"/>
  <c r="O35" i="2"/>
  <c r="O83" i="2"/>
  <c r="K85" i="2"/>
  <c r="N38" i="2"/>
  <c r="N86" i="2"/>
  <c r="O45" i="2"/>
  <c r="O93" i="2"/>
  <c r="K90" i="2"/>
  <c r="N39" i="2"/>
  <c r="N87" i="2"/>
  <c r="O46" i="2"/>
  <c r="O94" i="2"/>
  <c r="K102" i="2"/>
  <c r="N49" i="2"/>
  <c r="N97" i="2"/>
  <c r="O47" i="2"/>
  <c r="O95" i="2"/>
  <c r="K92" i="2"/>
  <c r="N15" i="2"/>
  <c r="N27" i="2"/>
  <c r="O11" i="2"/>
  <c r="O23" i="2"/>
  <c r="K93" i="2"/>
  <c r="N16" i="2"/>
  <c r="N28" i="2"/>
  <c r="N40" i="2"/>
  <c r="N52" i="2"/>
  <c r="N64" i="2"/>
  <c r="N76" i="2"/>
  <c r="N88" i="2"/>
  <c r="N100" i="2"/>
  <c r="O12" i="2"/>
  <c r="O24" i="2"/>
  <c r="O36" i="2"/>
  <c r="O48" i="2"/>
  <c r="O60" i="2"/>
  <c r="O72" i="2"/>
  <c r="O84" i="2"/>
  <c r="O96" i="2"/>
  <c r="K97" i="2"/>
  <c r="N5" i="2"/>
  <c r="N17" i="2"/>
  <c r="N29" i="2"/>
  <c r="N41" i="2"/>
  <c r="N53" i="2"/>
  <c r="N65" i="2"/>
  <c r="N77" i="2"/>
  <c r="N89" i="2"/>
  <c r="N101" i="2"/>
  <c r="O13" i="2"/>
  <c r="O25" i="2"/>
  <c r="O37" i="2"/>
  <c r="O49" i="2"/>
  <c r="O61" i="2"/>
  <c r="O73" i="2"/>
  <c r="O85" i="2"/>
  <c r="O97" i="2"/>
  <c r="K7" i="2"/>
  <c r="N6" i="2"/>
  <c r="N18" i="2"/>
  <c r="N30" i="2"/>
  <c r="N42" i="2"/>
  <c r="N54" i="2"/>
  <c r="N66" i="2"/>
  <c r="N78" i="2"/>
  <c r="N90" i="2"/>
  <c r="N102" i="2"/>
  <c r="O14" i="2"/>
  <c r="O26" i="2"/>
  <c r="O38" i="2"/>
  <c r="O50" i="2"/>
  <c r="O62" i="2"/>
  <c r="O74" i="2"/>
  <c r="O86" i="2"/>
  <c r="O98" i="2"/>
  <c r="K15" i="2"/>
  <c r="N7" i="2"/>
  <c r="N19" i="2"/>
  <c r="N31" i="2"/>
  <c r="N43" i="2"/>
  <c r="N55" i="2"/>
  <c r="N67" i="2"/>
  <c r="N79" i="2"/>
  <c r="N91" i="2"/>
  <c r="N103" i="2"/>
  <c r="O15" i="2"/>
  <c r="O27" i="2"/>
  <c r="O39" i="2"/>
  <c r="O51" i="2"/>
  <c r="O63" i="2"/>
  <c r="O75" i="2"/>
  <c r="O87" i="2"/>
  <c r="O99" i="2"/>
  <c r="K16" i="2"/>
  <c r="N8" i="2"/>
  <c r="N20" i="2"/>
  <c r="N32" i="2"/>
  <c r="N44" i="2"/>
  <c r="N56" i="2"/>
  <c r="N68" i="2"/>
  <c r="N80" i="2"/>
  <c r="N92" i="2"/>
  <c r="N104" i="2"/>
  <c r="O16" i="2"/>
  <c r="O28" i="2"/>
  <c r="O40" i="2"/>
  <c r="O52" i="2"/>
  <c r="O64" i="2"/>
  <c r="O76" i="2"/>
  <c r="O88" i="2"/>
  <c r="O100" i="2"/>
  <c r="K53" i="2"/>
  <c r="N9" i="2"/>
  <c r="N21" i="2"/>
  <c r="N33" i="2"/>
  <c r="N57" i="2"/>
  <c r="N69" i="2"/>
  <c r="N81" i="2"/>
  <c r="N93" i="2"/>
  <c r="O5" i="2"/>
  <c r="O17" i="2"/>
  <c r="O29" i="2"/>
  <c r="O65" i="2"/>
  <c r="O77" i="2"/>
  <c r="O89" i="2"/>
  <c r="O101" i="2"/>
  <c r="L34" i="2"/>
  <c r="L70" i="2"/>
  <c r="L82" i="2"/>
  <c r="K57" i="2"/>
  <c r="N10" i="2"/>
  <c r="N22" i="2"/>
  <c r="N34" i="2"/>
  <c r="N58" i="2"/>
  <c r="N70" i="2"/>
  <c r="N82" i="2"/>
  <c r="N94" i="2"/>
  <c r="O6" i="2"/>
  <c r="O18" i="2"/>
  <c r="O30" i="2"/>
  <c r="O66" i="2"/>
  <c r="O78" i="2"/>
  <c r="O90" i="2"/>
  <c r="O102" i="2"/>
  <c r="K61" i="2"/>
  <c r="L11" i="2"/>
  <c r="N11" i="2"/>
  <c r="N23" i="2"/>
  <c r="N59" i="2"/>
  <c r="N71" i="2"/>
  <c r="N83" i="2"/>
  <c r="N95" i="2"/>
  <c r="O7" i="2"/>
  <c r="O19" i="2"/>
  <c r="O31" i="2"/>
  <c r="O67" i="2"/>
  <c r="O79" i="2"/>
  <c r="O91" i="2"/>
  <c r="O103" i="2"/>
  <c r="K66" i="2"/>
  <c r="L59" i="2"/>
  <c r="N12" i="2"/>
  <c r="N24" i="2"/>
  <c r="N60" i="2"/>
  <c r="N72" i="2"/>
  <c r="N84" i="2"/>
  <c r="N96" i="2"/>
  <c r="O8" i="2"/>
  <c r="O20" i="2"/>
  <c r="O32" i="2"/>
  <c r="O68" i="2"/>
  <c r="O80" i="2"/>
  <c r="O92" i="2"/>
  <c r="O104" i="2"/>
  <c r="L10" i="2"/>
  <c r="K19" i="2"/>
  <c r="K68" i="2"/>
  <c r="L71" i="2"/>
  <c r="K67" i="2"/>
  <c r="L72" i="2"/>
  <c r="K26" i="2"/>
  <c r="K69" i="2"/>
  <c r="L14" i="2"/>
  <c r="L26" i="2"/>
  <c r="L35" i="2"/>
  <c r="L83" i="2"/>
  <c r="K14" i="2"/>
  <c r="K27" i="2"/>
  <c r="K73" i="2"/>
  <c r="K103" i="2"/>
  <c r="L15" i="2"/>
  <c r="L27" i="2"/>
  <c r="L36" i="2"/>
  <c r="L84" i="2"/>
  <c r="L23" i="2"/>
  <c r="K28" i="2"/>
  <c r="K78" i="2"/>
  <c r="K104" i="2"/>
  <c r="L46" i="2"/>
  <c r="L94" i="2"/>
  <c r="L24" i="2"/>
  <c r="L37" i="2"/>
  <c r="L49" i="2"/>
  <c r="L61" i="2"/>
  <c r="L73" i="2"/>
  <c r="L85" i="2"/>
  <c r="L97" i="2"/>
  <c r="L101" i="2"/>
  <c r="J89" i="2"/>
  <c r="K30" i="2"/>
  <c r="K79" i="2"/>
  <c r="L47" i="2"/>
  <c r="L95" i="2"/>
  <c r="L22" i="2"/>
  <c r="K18" i="2"/>
  <c r="L12" i="2"/>
  <c r="L98" i="2"/>
  <c r="J41" i="2"/>
  <c r="K31" i="2"/>
  <c r="K80" i="2"/>
  <c r="L48" i="2"/>
  <c r="L96" i="2"/>
  <c r="K91" i="2"/>
  <c r="K6" i="2"/>
  <c r="K46" i="2"/>
  <c r="K81" i="2"/>
  <c r="L58" i="2"/>
  <c r="K54" i="2"/>
  <c r="K17" i="2"/>
  <c r="L50" i="2"/>
  <c r="K95" i="2"/>
  <c r="L63" i="2"/>
  <c r="K8" i="2"/>
  <c r="K20" i="2"/>
  <c r="K32" i="2"/>
  <c r="K60" i="2"/>
  <c r="K72" i="2"/>
  <c r="K84" i="2"/>
  <c r="K96" i="2"/>
  <c r="L16" i="2"/>
  <c r="L28" i="2"/>
  <c r="L40" i="2"/>
  <c r="L52" i="2"/>
  <c r="L64" i="2"/>
  <c r="L76" i="2"/>
  <c r="L88" i="2"/>
  <c r="L100" i="2"/>
  <c r="K29" i="2"/>
  <c r="L25" i="2"/>
  <c r="K70" i="2"/>
  <c r="L38" i="2"/>
  <c r="K83" i="2"/>
  <c r="L87" i="2"/>
  <c r="K9" i="2"/>
  <c r="K21" i="2"/>
  <c r="K33" i="2"/>
  <c r="L5" i="2"/>
  <c r="L17" i="2"/>
  <c r="L29" i="2"/>
  <c r="L41" i="2"/>
  <c r="L53" i="2"/>
  <c r="L65" i="2"/>
  <c r="L77" i="2"/>
  <c r="L89" i="2"/>
  <c r="L86" i="2"/>
  <c r="L39" i="2"/>
  <c r="K10" i="2"/>
  <c r="K22" i="2"/>
  <c r="K34" i="2"/>
  <c r="K62" i="2"/>
  <c r="K74" i="2"/>
  <c r="K86" i="2"/>
  <c r="K98" i="2"/>
  <c r="L6" i="2"/>
  <c r="L18" i="2"/>
  <c r="L30" i="2"/>
  <c r="L42" i="2"/>
  <c r="L54" i="2"/>
  <c r="L66" i="2"/>
  <c r="L78" i="2"/>
  <c r="L90" i="2"/>
  <c r="L102" i="2"/>
  <c r="K5" i="2"/>
  <c r="L62" i="2"/>
  <c r="K59" i="2"/>
  <c r="L99" i="2"/>
  <c r="K11" i="2"/>
  <c r="K23" i="2"/>
  <c r="K41" i="2"/>
  <c r="K63" i="2"/>
  <c r="K75" i="2"/>
  <c r="K87" i="2"/>
  <c r="K99" i="2"/>
  <c r="L7" i="2"/>
  <c r="L19" i="2"/>
  <c r="L31" i="2"/>
  <c r="L43" i="2"/>
  <c r="L55" i="2"/>
  <c r="L67" i="2"/>
  <c r="L79" i="2"/>
  <c r="L91" i="2"/>
  <c r="L103" i="2"/>
  <c r="K82" i="2"/>
  <c r="K71" i="2"/>
  <c r="L51" i="2"/>
  <c r="K12" i="2"/>
  <c r="K24" i="2"/>
  <c r="K42" i="2"/>
  <c r="K64" i="2"/>
  <c r="K76" i="2"/>
  <c r="K88" i="2"/>
  <c r="K100" i="2"/>
  <c r="L8" i="2"/>
  <c r="L20" i="2"/>
  <c r="L32" i="2"/>
  <c r="L44" i="2"/>
  <c r="L56" i="2"/>
  <c r="L68" i="2"/>
  <c r="L80" i="2"/>
  <c r="L92" i="2"/>
  <c r="L104" i="2"/>
  <c r="L13" i="2"/>
  <c r="K58" i="2"/>
  <c r="K94" i="2"/>
  <c r="L74" i="2"/>
  <c r="L75" i="2"/>
  <c r="K13" i="2"/>
  <c r="K25" i="2"/>
  <c r="K45" i="2"/>
  <c r="K65" i="2"/>
  <c r="K77" i="2"/>
  <c r="K101" i="2"/>
  <c r="L9" i="2"/>
  <c r="L21" i="2"/>
  <c r="L33" i="2"/>
  <c r="L45" i="2"/>
  <c r="L57" i="2"/>
  <c r="L69" i="2"/>
  <c r="L81" i="2"/>
  <c r="L93" i="2"/>
  <c r="K43" i="2"/>
  <c r="K55" i="2"/>
  <c r="K44" i="2"/>
  <c r="K56" i="2"/>
  <c r="K35" i="2"/>
  <c r="K47" i="2"/>
  <c r="K36" i="2"/>
  <c r="K48" i="2"/>
  <c r="K37" i="2"/>
  <c r="K49" i="2"/>
  <c r="K38" i="2"/>
  <c r="K50" i="2"/>
  <c r="J50" i="2"/>
  <c r="K39" i="2"/>
  <c r="K51" i="2"/>
  <c r="K40" i="2"/>
  <c r="K52" i="2"/>
  <c r="J39" i="2"/>
  <c r="J38" i="2"/>
  <c r="J53" i="2"/>
  <c r="J51" i="2"/>
  <c r="J40" i="2"/>
  <c r="J48" i="2"/>
  <c r="J36" i="2"/>
  <c r="J52" i="2"/>
  <c r="J47" i="2"/>
  <c r="J35" i="2"/>
  <c r="J49" i="2"/>
  <c r="J46" i="2"/>
  <c r="J45" i="2"/>
  <c r="J37" i="2"/>
  <c r="J56" i="2"/>
  <c r="J44" i="2"/>
  <c r="J55" i="2"/>
  <c r="J43" i="2"/>
  <c r="J54" i="2"/>
  <c r="J42" i="2"/>
</calcChain>
</file>

<file path=xl/sharedStrings.xml><?xml version="1.0" encoding="utf-8"?>
<sst xmlns="http://schemas.openxmlformats.org/spreadsheetml/2006/main" count="1117" uniqueCount="475">
  <si>
    <t>bsc_banco</t>
  </si>
  <si>
    <t>bsc_banco_conta_tipo</t>
  </si>
  <si>
    <t>bsc_escolaridade</t>
  </si>
  <si>
    <t>bsc_estado</t>
  </si>
  <si>
    <t>bsc_estado_civil</t>
  </si>
  <si>
    <t>bsc_mes</t>
  </si>
  <si>
    <t>bsc_municipio</t>
  </si>
  <si>
    <t>bsc_pais</t>
  </si>
  <si>
    <t>bsc_parentesco_grau</t>
  </si>
  <si>
    <t>bsc_unidade_medida</t>
  </si>
  <si>
    <t>gov_governo</t>
  </si>
  <si>
    <t>gov_governador</t>
  </si>
  <si>
    <t>gov_uo_sub</t>
  </si>
  <si>
    <t>pref_prefeitura</t>
  </si>
  <si>
    <t>pref_prefeito</t>
  </si>
  <si>
    <t>pref_uo_sub</t>
  </si>
  <si>
    <t>seme_uo_responsavel</t>
  </si>
  <si>
    <t>seme_uo_sub_responsavel</t>
  </si>
  <si>
    <t>seme_uo_sub_divisao_responsavel</t>
  </si>
  <si>
    <t>ue_uo</t>
  </si>
  <si>
    <t>ue_uo_diretoria</t>
  </si>
  <si>
    <t>ue_uo_diretoria_responsavel</t>
  </si>
  <si>
    <t>ue_uo_diretoria_vice_responsavel</t>
  </si>
  <si>
    <t>ue_uo_coord_administrativo</t>
  </si>
  <si>
    <t>ue_uo_coord_administrativo_responsavel</t>
  </si>
  <si>
    <t>ue_uo_coord_ensino</t>
  </si>
  <si>
    <t>ue_uo_coord_ensino_responsavel</t>
  </si>
  <si>
    <t>ue_uo_secretario_escolar</t>
  </si>
  <si>
    <t>ue_uo_secretario_escolar_responsavel</t>
  </si>
  <si>
    <t>ue_uo_coord_pedagogico</t>
  </si>
  <si>
    <t>ue_uo_coord_pedagogico_responsavel</t>
  </si>
  <si>
    <t>ue_uo_auxiliar_escolar</t>
  </si>
  <si>
    <t>ue_uo_auxiliar_secretaria</t>
  </si>
  <si>
    <t>ue_uo_vigia</t>
  </si>
  <si>
    <t>ue_uo_servente</t>
  </si>
  <si>
    <t>ue_uo_merendeira</t>
  </si>
  <si>
    <t>ue_uo_zelador</t>
  </si>
  <si>
    <t>ue_uo_digitador</t>
  </si>
  <si>
    <t>ue_uo_bibliotecario</t>
  </si>
  <si>
    <t>ue_uo_corpo_docente</t>
  </si>
  <si>
    <t>ue_uo_conselho_escolar</t>
  </si>
  <si>
    <t>ue_uo_comite_executivo</t>
  </si>
  <si>
    <t>ue_uo_comissao_eleitoral</t>
  </si>
  <si>
    <t>ue_processo_lotacao</t>
  </si>
  <si>
    <t>ue_processo_lotacao_docente</t>
  </si>
  <si>
    <t>ue_processo_lotacao_coord_administrativo</t>
  </si>
  <si>
    <t>ue_processo_lotacao_coord_ensino</t>
  </si>
  <si>
    <t>ue_processo_lotacao_coord_pedagogico</t>
  </si>
  <si>
    <t>ue_processo_lotacao_auxiliar_escola</t>
  </si>
  <si>
    <t>ue_processo_lotacao_servente</t>
  </si>
  <si>
    <t>ue_processo_lotacao_auxiliar_secretaria</t>
  </si>
  <si>
    <t>ue_processo_lotacao_merendeira</t>
  </si>
  <si>
    <t>ue_processo_lotacao_merendeira_servente_rural</t>
  </si>
  <si>
    <t>ue_processo_lotacao_vigia</t>
  </si>
  <si>
    <t>ue_processo_lotacao_secretaria</t>
  </si>
  <si>
    <t>ue_processo_lotacao_docente_apoio_pedagogico</t>
  </si>
  <si>
    <t>ue_processo_lotacao_diretoria</t>
  </si>
  <si>
    <t>ue_processo_regimento_escolar</t>
  </si>
  <si>
    <t>ue_processo_credenciamento_reconhecimento</t>
  </si>
  <si>
    <t>ue_processo_projeto_pedagógico</t>
  </si>
  <si>
    <t>ue_processo_devolucao</t>
  </si>
  <si>
    <t>ue_processo_penalidade</t>
  </si>
  <si>
    <t>ue_processo_eleicao_diretor</t>
  </si>
  <si>
    <t>ue_processo_eleicao_direta_diretor</t>
  </si>
  <si>
    <t>ue_processo_tipo_matricula</t>
  </si>
  <si>
    <t>ue_processo_matricula</t>
  </si>
  <si>
    <t>ue_aula_programa_ensino</t>
  </si>
  <si>
    <t>ue_aula_materia</t>
  </si>
  <si>
    <t>ue_aula_materia_conteudo</t>
  </si>
  <si>
    <t>ue_aula_materia_avaliacao</t>
  </si>
  <si>
    <t>ue_aula_periodo_letivo</t>
  </si>
  <si>
    <t>ue_aula_tipo_curso</t>
  </si>
  <si>
    <t>ue_aula_curso</t>
  </si>
  <si>
    <t>ue_aula_curso_materia</t>
  </si>
  <si>
    <t>ue_aula_tipo_turma</t>
  </si>
  <si>
    <t>ue_aula_aluno</t>
  </si>
  <si>
    <t>ue_aula_turma_aluno</t>
  </si>
  <si>
    <t>ue_aula_turma_aluno_materia</t>
  </si>
  <si>
    <t>ue_aula_turma_aluno_materia_frequencia</t>
  </si>
  <si>
    <t>ue_aula_tipo_avaliacao</t>
  </si>
  <si>
    <t>ue_aula_turma_aluno_materia_avaliacao</t>
  </si>
  <si>
    <t>Tabela</t>
  </si>
  <si>
    <t>Obs</t>
  </si>
  <si>
    <t>gov_tipo_uo</t>
  </si>
  <si>
    <t>(Secretarias, Institutos, Autarquias)</t>
  </si>
  <si>
    <t>gov_uo</t>
  </si>
  <si>
    <t>(SEE, SESACRE, IAPEN)</t>
  </si>
  <si>
    <t>see_secretaria</t>
  </si>
  <si>
    <t>(SEE)</t>
  </si>
  <si>
    <t xml:space="preserve">see_secretaria_responsavel </t>
  </si>
  <si>
    <t>(André Zein)</t>
  </si>
  <si>
    <t>gov_tipo_uo_sub</t>
  </si>
  <si>
    <t>(Secretaria Adjunta, Gabinete, Assessoria)</t>
  </si>
  <si>
    <t xml:space="preserve">see_tipo_uo </t>
  </si>
  <si>
    <t>(Secretaria Adjunta, Assessoria, Gabinete, Departamento)</t>
  </si>
  <si>
    <t>see_uo</t>
  </si>
  <si>
    <t>(Secretaria Adjunta de ADM, Assessoria de Juventude)</t>
  </si>
  <si>
    <t>see_tipo_uo_sub</t>
  </si>
  <si>
    <t>(Diretoria, Gabinete, Departamento)</t>
  </si>
  <si>
    <t>see_uo_sub</t>
  </si>
  <si>
    <t>(Diretoria, Gestão Operacional, Gabinete Secretário Adjunto)</t>
  </si>
  <si>
    <t>see_uo_sub_divisao</t>
  </si>
  <si>
    <t>pref_tipo_uo</t>
  </si>
  <si>
    <t>pref_uo</t>
  </si>
  <si>
    <t>(SEME, SecMunSaude)</t>
  </si>
  <si>
    <t>pref_tipo_uo_sub</t>
  </si>
  <si>
    <t>(Assesoria Adjunta)</t>
  </si>
  <si>
    <t>seme_secretaria</t>
  </si>
  <si>
    <t>(SEME)</t>
  </si>
  <si>
    <t>seme_secretaria_responsavel</t>
  </si>
  <si>
    <t>seme_tipo_uo</t>
  </si>
  <si>
    <t>seme_uo</t>
  </si>
  <si>
    <t>seme_tipo_uo_sub</t>
  </si>
  <si>
    <t>(Diretoria, Gabinente, Departamento)</t>
  </si>
  <si>
    <t>seme_uo_sub</t>
  </si>
  <si>
    <t>seme_uo_sub_divisao</t>
  </si>
  <si>
    <t>(Departamento Almoxarifado, Coord Folha Pag)</t>
  </si>
  <si>
    <t>seme_tipo_unidade_educativa</t>
  </si>
  <si>
    <t>(Escola, Creche, Instituto)</t>
  </si>
  <si>
    <t>seme_categoria_unidade_educativa</t>
  </si>
  <si>
    <t>(Tipo A-E)</t>
  </si>
  <si>
    <t>seme_unidade_educativa</t>
  </si>
  <si>
    <t>(Escola Municipal ...)</t>
  </si>
  <si>
    <t>ue_unidade_educativa</t>
  </si>
  <si>
    <t>(ue = unidade educativa)</t>
  </si>
  <si>
    <t>#</t>
  </si>
  <si>
    <t>(8 números, INEP Data painel business inteligence)</t>
  </si>
  <si>
    <t>(publica/privada)</t>
  </si>
  <si>
    <t>(Mun, Est, Fed, Privada)</t>
  </si>
  <si>
    <t>(ativa, paralisada)</t>
  </si>
  <si>
    <t>(rural, urbana)</t>
  </si>
  <si>
    <t>(área de assentamento, área remanescente de Quilombo, terra indígena)</t>
  </si>
  <si>
    <t>(inf, fund, médio)</t>
  </si>
  <si>
    <t>Mantenedora</t>
  </si>
  <si>
    <t>(identidade responsável pela escola, se for o caso)</t>
  </si>
  <si>
    <t>(manhã, tarde, noite)</t>
  </si>
  <si>
    <t>(ensRegular (infanti, fundamental, médio), eduJovensAdultos-EJA, ensEspecial (escolas e classes especiais), Educação profissional e tecnológica)</t>
  </si>
  <si>
    <t>Infraestrutura</t>
  </si>
  <si>
    <t>(salas aula, laboratório, biblioteca, quadra esportiva)</t>
  </si>
  <si>
    <t>Recursos</t>
  </si>
  <si>
    <t>(materiais, computadores, livros...)</t>
  </si>
  <si>
    <t>Equipe Escolar</t>
  </si>
  <si>
    <t>(adm, docentes)</t>
  </si>
  <si>
    <t>Rede Ensino</t>
  </si>
  <si>
    <t>(dados mun, est, fed, privadas)</t>
  </si>
  <si>
    <t>ue_responsavel</t>
  </si>
  <si>
    <t>(diretor)</t>
  </si>
  <si>
    <t>ue_tipo_uo</t>
  </si>
  <si>
    <t>(Apoio adm, Direção Escolar, Corpo Docente, Comitê, Conselho, Comissão)</t>
  </si>
  <si>
    <t>ue_tipo_processo</t>
  </si>
  <si>
    <t>(administrativo, aula)</t>
  </si>
  <si>
    <t>ue_processo_programa_ensino</t>
  </si>
  <si>
    <t>(curriculo/materias)</t>
  </si>
  <si>
    <t>ue_processo_afastamento</t>
  </si>
  <si>
    <t>(licença)</t>
  </si>
  <si>
    <t>(ano letivo)</t>
  </si>
  <si>
    <t>ue_processo_programa_especial</t>
  </si>
  <si>
    <t>(classes de aceleração)</t>
  </si>
  <si>
    <t>ue_aula_turma</t>
  </si>
  <si>
    <t>ue_aula_turma_materia</t>
  </si>
  <si>
    <t>bsc_pessoa</t>
  </si>
  <si>
    <t>tipo     TYNINT(1) NOT NULL</t>
  </si>
  <si>
    <t>dt_nascimento     date DEFAULT NULL,</t>
  </si>
  <si>
    <t>ie     varchar(14) DEFAULT NULL</t>
  </si>
  <si>
    <t>sexo     varchar(1) DEFAULT NULL,</t>
  </si>
  <si>
    <t>FK  natural_bsc_pais_id     int(11) DEFAULT NULL,</t>
  </si>
  <si>
    <t>FK  natural_bsc_municipio_id     int(11) DEFAULT NULL,</t>
  </si>
  <si>
    <t>FK  pai_natural_bsc_pais_id     int(11) DEFAULT NULL,</t>
  </si>
  <si>
    <t>FK  mae_natural_bsc_pais_id     int(11) DEFAULT NULL,</t>
  </si>
  <si>
    <t>natural_estrangeiro_dt_ingresso     date DEFAULT NULL,</t>
  </si>
  <si>
    <t>foto     varchar(254) DEFAULT NULL,</t>
  </si>
  <si>
    <t>sangue_tipo     varchar(3) DEFAULT NULL,</t>
  </si>
  <si>
    <t>raca     varchar(20) DEFAULT NULL,</t>
  </si>
  <si>
    <t>enfermidade_portador     varchar(50) DEFAULT NULL,</t>
  </si>
  <si>
    <t>enfermidade_codigo_internacional     varchar(10) DEFAULT NULL,</t>
  </si>
  <si>
    <t>bsc_pessoa_contato</t>
  </si>
  <si>
    <t>end_cep     varchar(10) DEFAULT NULL,</t>
  </si>
  <si>
    <t>end_logradouro     varchar(100) DEFAULT NULL,</t>
  </si>
  <si>
    <t>end_numero     varchar(10) DEFAULT NULL,</t>
  </si>
  <si>
    <t>end_complemento     varchar(100) DEFAULT NULL,</t>
  </si>
  <si>
    <t>end_bairro     varchar(50) DEFAULT NULL,</t>
  </si>
  <si>
    <t>tel_residencial     varchar(15) DEFAULT NULL,</t>
  </si>
  <si>
    <t>tel_celular     varchar(15) DEFAULT NULL,</t>
  </si>
  <si>
    <t>tel_recado     varchar(15) DEFAULT NULL,</t>
  </si>
  <si>
    <t>tel_recado_nome     varchar(50) DEFAULT NULL,</t>
  </si>
  <si>
    <t>email_institucional     varchar(70) DEFAULT NULL,</t>
  </si>
  <si>
    <t>email_pessoal     varchar(70) DEFAULT NULL,</t>
  </si>
  <si>
    <t>email_alternativo     varchar(70) DEFAULT NULL,</t>
  </si>
  <si>
    <t>contato_emergencia_nome     varchar(70) DEFAULT NULL,</t>
  </si>
  <si>
    <t>contato_emergencia_end     varchar(100) DEFAULT NULL,</t>
  </si>
  <si>
    <t>contato_emergencia_tel     varchar(15) DEFAULT NULL,</t>
  </si>
  <si>
    <t>site     varchar(254) DEFAULT NULL,</t>
  </si>
  <si>
    <t>bsc_pessoa_documento</t>
  </si>
  <si>
    <t>rg_numero     varchar(15) DEFAULT NULL,</t>
  </si>
  <si>
    <t>rg_dt_emissao     date DEFAULT NULL,</t>
  </si>
  <si>
    <t>rg_orgao_expedidor     varchar(18) DEFAULT NULL,</t>
  </si>
  <si>
    <t>pis_numero     varchar(18) DEFAULT NULL,</t>
  </si>
  <si>
    <t>pis_dt_cadastro     date DEFAULT NULL,</t>
  </si>
  <si>
    <t>pis_domicilio_bancario     varchar(50) DEFAULT NULL,</t>
  </si>
  <si>
    <t>pis_banco_numero     varchar(10) DEFAULT NULL,</t>
  </si>
  <si>
    <t>pis_agencia     varchar(50) DEFAULT NULL,</t>
  </si>
  <si>
    <t>pis_agencia_end     varchar(100) DEFAULT NULL,</t>
  </si>
  <si>
    <t>eleitor_numero     varchar(18) DEFAULT NULL,</t>
  </si>
  <si>
    <t>eleitor_zona     varchar(5) DEFAULT NULL,</t>
  </si>
  <si>
    <t>eleitor_secao     varchar(5) DEFAULT NULL,</t>
  </si>
  <si>
    <t>eleitor_insc_orgao_classe     varchar(50) DEFAULT NULL,</t>
  </si>
  <si>
    <t>ctps_numero     varchar(18) DEFAULT NULL,</t>
  </si>
  <si>
    <t>ctps_serie     varchar(10) DEFAULT NULL,</t>
  </si>
  <si>
    <t>ctps_dt_emissao     date DEFAULT NULL,</t>
  </si>
  <si>
    <t>ctps_orgao_expedidor     varchar(50) DEFAULT NULL,</t>
  </si>
  <si>
    <t>ctps_primeiro_emprego_ano     varchar(4) DEFAULT NULL,</t>
  </si>
  <si>
    <t>cnh_numero     varchar(18) DEFAULT NULL,</t>
  </si>
  <si>
    <t>cnh_categoria     varchar(2) DEFAULT NULL,</t>
  </si>
  <si>
    <t>cnh_dt_emissao     date DEFAULT NULL,</t>
  </si>
  <si>
    <t>cnh_orgao_expedidor     varchar(50) DEFAULT NULL,</t>
  </si>
  <si>
    <t>cnh_dt_validade     date DEFAULT NULL,</t>
  </si>
  <si>
    <t>cnh_dt_primeira_habilitacao     date DEFAULT NULL,</t>
  </si>
  <si>
    <t>reg_militar_numero     varchar(18) DEFAULT NULL,</t>
  </si>
  <si>
    <t>reg_militar_categoria     varchar(50) DEFAULT NULL,</t>
  </si>
  <si>
    <t>reg_militar_emissao_ano     varchar(4) DEFAULT NULL,</t>
  </si>
  <si>
    <t>reg_militar_orgao_expedidor     varchar(50) DEFAULT NULL,</t>
  </si>
  <si>
    <t>reg_militar_especie     varchar(50) DEFAULT NULL,</t>
  </si>
  <si>
    <t>reg_prof_numero     varchar(18) DEFAULT NULL,</t>
  </si>
  <si>
    <t>reg_prof_dt_emissao     date DEFAULT NULL,</t>
  </si>
  <si>
    <t>reg_prof_orgao_expedidor     varchar(50) DEFAULT NULL,</t>
  </si>
  <si>
    <t>reg_prof_dt_validade     date DEFAULT NULL,</t>
  </si>
  <si>
    <t>rne_numero     varchar(15) DEFAULT NULL,</t>
  </si>
  <si>
    <t>rne_dt_emissao     date DEFAULT NULL,</t>
  </si>
  <si>
    <t>rne_orgao_expedidor     varchar(50) DEFAULT NULL,</t>
  </si>
  <si>
    <t>fgts_numero     varchar(18) DEFAULT NULL,</t>
  </si>
  <si>
    <t>fgts_opcao     varchar(15) DEFAULT NULL,</t>
  </si>
  <si>
    <t>fgts_conta_vinculada_banco     varchar(18) DEFAULT NULL,</t>
  </si>
  <si>
    <t>fgts_dt_retificacao     date DEFAULT NULL,</t>
  </si>
  <si>
    <t>estrangeiro_casado_brasileiro     varchar(1) DEFAULT NULL,</t>
  </si>
  <si>
    <t>estrangeiro_filho_brasileiro     varchar(1) DEFAULT NULL,</t>
  </si>
  <si>
    <t>FK  eleitor_bsc_municipio_id     int(11) DEFAULT NULL,</t>
  </si>
  <si>
    <t>FK  tel_recado_bsc_parentesco_grau_id     int(11) DEFAULT NULL,</t>
  </si>
  <si>
    <t>FK  end_bsc_municipio_id     int(11) DEFAULT NULL,</t>
  </si>
  <si>
    <t>FK  bsc_pessoa_id</t>
  </si>
  <si>
    <t>inep_cod</t>
  </si>
  <si>
    <t>FK  bsc_categoria_administrativa_id</t>
  </si>
  <si>
    <t>bsc_categoria_administrativa</t>
  </si>
  <si>
    <t>nome</t>
  </si>
  <si>
    <t>bsc_esfera_administrativa</t>
  </si>
  <si>
    <t>FK  bsc_esfera_administrativa_id</t>
  </si>
  <si>
    <t>ue_funcionamento_situacao</t>
  </si>
  <si>
    <t>FK  ue_unidade_educativa_id</t>
  </si>
  <si>
    <t>bsc_zona</t>
  </si>
  <si>
    <t>FK  bsc_zona_id</t>
  </si>
  <si>
    <t>ue_localizacao_diferenciada</t>
  </si>
  <si>
    <t>FK  ue_localizacao_diferenciada_id</t>
  </si>
  <si>
    <t>FK  ue_funcionamento_situacao_id</t>
  </si>
  <si>
    <t>ue_modalidade_ensino</t>
  </si>
  <si>
    <t>ue_nivel_ensino</t>
  </si>
  <si>
    <t>ue_unidade_educativa_modalidade_ensino</t>
  </si>
  <si>
    <t>FK  ue_modalidade_ensino_id</t>
  </si>
  <si>
    <t>ue_unidade_educativa_nivel_ensino</t>
  </si>
  <si>
    <t>FK  ue_nivel_ensino_id</t>
  </si>
  <si>
    <t>ue_turno_ensino</t>
  </si>
  <si>
    <t>ue_unidade_educativa_turno_ensino</t>
  </si>
  <si>
    <t>FK  ue_turno_ensino_id</t>
  </si>
  <si>
    <t>ue_porte_escolar</t>
  </si>
  <si>
    <t>FK  ue_porte_escolar_id</t>
  </si>
  <si>
    <t>(Tipo A – E, &lt;=50, 51-200, 201-500, 501-1000, &gt;1000)</t>
  </si>
  <si>
    <t>ue_tipo_infraestrutura</t>
  </si>
  <si>
    <t>descricao</t>
  </si>
  <si>
    <t>ue_infraestrutura</t>
  </si>
  <si>
    <t>Sanitários com Acessibilidade, biblioteca, água filtrada)</t>
  </si>
  <si>
    <t>ue_unidade_educativa_insfraestrutura</t>
  </si>
  <si>
    <t>possui</t>
  </si>
  <si>
    <t>FK ue_infraestrutura</t>
  </si>
  <si>
    <t>(acessibilidade, Alimentação, Dependências, Serviços, Tecnologia, Equipamentos)</t>
  </si>
  <si>
    <t>codigo     varchar(3) NOT NULL,</t>
  </si>
  <si>
    <t>nome     varchar(150) NOT NULL,</t>
  </si>
  <si>
    <t>ispb     varchar(8) NOT NULL,</t>
  </si>
  <si>
    <t>nome     varchar(100) NOT NULL</t>
  </si>
  <si>
    <t>sigla     varchar(2) NOT NULL</t>
  </si>
  <si>
    <t>nome     varchar(50) NOT NULL,</t>
  </si>
  <si>
    <t>exige_registro     tinyint(4) NOT NULL,</t>
  </si>
  <si>
    <t>FK  bsc_estado_id     int(11) NOT NULL,</t>
  </si>
  <si>
    <t>fisica / jurídica</t>
  </si>
  <si>
    <t>nome     varchar(50) NOT NULL</t>
  </si>
  <si>
    <t>mes     varchar(2) NOT NULL,</t>
  </si>
  <si>
    <t>nome     varchar(45) NOT NULL,</t>
  </si>
  <si>
    <t>abreviacao     varchar(5) NOT NULL,</t>
  </si>
  <si>
    <t>nome     varchar(100) NOT NULL,</t>
  </si>
  <si>
    <t>nacionalidade     varchar(100) NOT NULL,</t>
  </si>
  <si>
    <t>masculino     varchar(100) NOT NULL,</t>
  </si>
  <si>
    <t>feminino     varchar(100) NOT NULL,</t>
  </si>
  <si>
    <t>grau     varchar(25) NOT NULL,</t>
  </si>
  <si>
    <t>descricao     TEXT NOT NULL,</t>
  </si>
  <si>
    <t>nome_curto     varchar(80) NOT NULL,</t>
  </si>
  <si>
    <t>nome     varchar(254) NOT NULL,</t>
  </si>
  <si>
    <t>bsc_grandeza</t>
  </si>
  <si>
    <t>simbolo     varchar(5) NOT NULL,</t>
  </si>
  <si>
    <t>equivalencia     varchar(20) NOT NULL,</t>
  </si>
  <si>
    <t>nome e nome fantasia</t>
  </si>
  <si>
    <t>nome e razão social</t>
  </si>
  <si>
    <t>cpf e cnpj</t>
  </si>
  <si>
    <t>cpf     varchar(18) NOT NULL,</t>
  </si>
  <si>
    <t>data de nascimento e data de criação pj</t>
  </si>
  <si>
    <t>inscrição estadual pj</t>
  </si>
  <si>
    <t xml:space="preserve"> </t>
  </si>
  <si>
    <t>natural_estrangeiro_cidade     varchar(130) DEFAULT NULL,</t>
  </si>
  <si>
    <t>natural_estrangeiro_estado     varchar(100) DEFAULT NULL,</t>
  </si>
  <si>
    <t>natural_estrangeiro_condicao_trabalho     varchar(254) DEFAULT NULL,</t>
  </si>
  <si>
    <t>pai_profissao     varchar(100) DEFAULT NULL,</t>
  </si>
  <si>
    <t>mae_profissao     varchar(100) DEFAULT NULL,</t>
  </si>
  <si>
    <t>mae_nome     varchar(254) DEFAULT NULL,</t>
  </si>
  <si>
    <t>pai_nome     varchar(254) DEFAULT NULL,</t>
  </si>
  <si>
    <t xml:space="preserve">  `status` tinyint(1) NOT NULL DEFAULT '0',</t>
  </si>
  <si>
    <t xml:space="preserve">  `dt_cadastro` timestamp NOT NULL DEFAULT CURRENT_TIMESTAMP,</t>
  </si>
  <si>
    <t xml:space="preserve">  `tipo` varchar(45) NOT NULL COMMENT '1 = física, 2 = jurídica',</t>
  </si>
  <si>
    <t xml:space="preserve">  `nome` varchar(254) NOT NULL COMMENT 'Nome e nome_razao_social',</t>
  </si>
  <si>
    <t xml:space="preserve">  `nome_social` varchar(245) DEFAULT NULL COMMENT 'Nome_social e nome_fantasia',</t>
  </si>
  <si>
    <t xml:space="preserve">  `cpf` varchar(18) NOT NULL COMMENT 'Cpf e cnpj',</t>
  </si>
  <si>
    <t xml:space="preserve">  `ie` varchar(45) DEFAULT NULL COMMENT 'Inscrição estadual Pessoa Jurídica',</t>
  </si>
  <si>
    <t xml:space="preserve">  `dt_nascimento` date DEFAULT NULL,</t>
  </si>
  <si>
    <t xml:space="preserve">  `sexo` varchar(9) DEFAULT NULL,</t>
  </si>
  <si>
    <t xml:space="preserve">  `natural_bsc_pais_id` int(11) DEFAULT NULL,</t>
  </si>
  <si>
    <t xml:space="preserve">  `natural_bsc_municipio_id` int(11) DEFAULT NULL,</t>
  </si>
  <si>
    <t xml:space="preserve">  `natural_estrangeiro_dt_ingresso` date DEFAULT NULL,</t>
  </si>
  <si>
    <t xml:space="preserve">  `natural_estrangeiro_cidade` varchar(130) DEFAULT NULL,</t>
  </si>
  <si>
    <t xml:space="preserve">  `natural_estrangeiro_estado` varchar(100) DEFAULT NULL,</t>
  </si>
  <si>
    <t xml:space="preserve">  `natural_estrangeiro_condicao_trabalho` varchar(254) DEFAULT NULL,</t>
  </si>
  <si>
    <t xml:space="preserve">  `pai_nome` varchar(254) DEFAULT NULL,</t>
  </si>
  <si>
    <t xml:space="preserve">  `pai_natural_bsc_pais_id` int(11) DEFAULT NULL,</t>
  </si>
  <si>
    <t xml:space="preserve">  `pai_profissao` varchar(100) DEFAULT NULL,</t>
  </si>
  <si>
    <t xml:space="preserve">  `mae_nome` varchar(254) DEFAULT NULL,</t>
  </si>
  <si>
    <t xml:space="preserve">  `mae_natural_bsc_pais_id` int(11) DEFAULT NULL,</t>
  </si>
  <si>
    <t xml:space="preserve">  `mae_profissao` varchar(45) DEFAULT NULL,</t>
  </si>
  <si>
    <t xml:space="preserve">  `foto` varchar(254) DEFAULT NULL,</t>
  </si>
  <si>
    <t xml:space="preserve">  `sangue_tipo` varchar(3) DEFAULT NULL,</t>
  </si>
  <si>
    <t xml:space="preserve">  `raca` varchar(50) DEFAULT NULL,</t>
  </si>
  <si>
    <t xml:space="preserve">  `enfermedade_portador` varchar(100) DEFAULT NULL,</t>
  </si>
  <si>
    <t xml:space="preserve">  `enfermedade_codigo_internacional` varchar(10) DEFAULT NULL,</t>
  </si>
  <si>
    <t xml:space="preserve">  `dt_criacao` date DEFAULT NULL COMMENT 'Pessoa jurídica',</t>
  </si>
  <si>
    <t>p_</t>
  </si>
  <si>
    <t xml:space="preserve">  `id` int(11) NOT NULL AUTO_INCREMENT,</t>
  </si>
  <si>
    <t>Pre</t>
  </si>
  <si>
    <t>Campo Banco</t>
  </si>
  <si>
    <t>Nome Campo</t>
  </si>
  <si>
    <t>Tipo</t>
  </si>
  <si>
    <t>Max</t>
  </si>
  <si>
    <t>Requerido</t>
  </si>
  <si>
    <t>Aux1</t>
  </si>
  <si>
    <t>Aux2</t>
  </si>
  <si>
    <t>SELECT</t>
  </si>
  <si>
    <t>HTML</t>
  </si>
  <si>
    <t>POST</t>
  </si>
  <si>
    <t>INSERT</t>
  </si>
  <si>
    <t>UPDATE</t>
  </si>
  <si>
    <t>$rsPessoa</t>
  </si>
  <si>
    <t>SET INITIALIZE</t>
  </si>
  <si>
    <t>SET BINDVALUE</t>
  </si>
  <si>
    <t>Somente as células com fundo azul podem e devem ser modificadas</t>
  </si>
  <si>
    <t>Acao</t>
  </si>
  <si>
    <t>AgriculturaFamiliar</t>
  </si>
  <si>
    <t>Alimento</t>
  </si>
  <si>
    <t>AlimentoSubstituto</t>
  </si>
  <si>
    <t>Aluno</t>
  </si>
  <si>
    <t>Antropometria</t>
  </si>
  <si>
    <t>AtaProdutos</t>
  </si>
  <si>
    <t>Balanco</t>
  </si>
  <si>
    <t>Calendario</t>
  </si>
  <si>
    <t>Cardapio</t>
  </si>
  <si>
    <t>ClassificacaoAlimento</t>
  </si>
  <si>
    <t>CNF</t>
  </si>
  <si>
    <t>Comensais</t>
  </si>
  <si>
    <t>ConsumoPerCapta</t>
  </si>
  <si>
    <t>Contrato</t>
  </si>
  <si>
    <t>ContratoProdutos</t>
  </si>
  <si>
    <t>Contratos</t>
  </si>
  <si>
    <t>DELFOS</t>
  </si>
  <si>
    <t>Diretor</t>
  </si>
  <si>
    <t>Entrada</t>
  </si>
  <si>
    <t>Escola</t>
  </si>
  <si>
    <t>Estoque</t>
  </si>
  <si>
    <t>EstoqueMovimentacao</t>
  </si>
  <si>
    <t>FaixaEtaria</t>
  </si>
  <si>
    <t>FiscalEntradaSaida</t>
  </si>
  <si>
    <t>FiscalProcessoContrato</t>
  </si>
  <si>
    <t>FiscalRequisicao</t>
  </si>
  <si>
    <t>FluxoMovimentacao</t>
  </si>
  <si>
    <t>FNDE</t>
  </si>
  <si>
    <t>FonteRecurso</t>
  </si>
  <si>
    <t>Fornecedor</t>
  </si>
  <si>
    <t>FornecedorRepresentante</t>
  </si>
  <si>
    <t>Gestor</t>
  </si>
  <si>
    <t>GrupoProduto</t>
  </si>
  <si>
    <t>HorarioRefeicao</t>
  </si>
  <si>
    <t>HorarioTurma</t>
  </si>
  <si>
    <t>INEP</t>
  </si>
  <si>
    <t>InformacaoNutricional</t>
  </si>
  <si>
    <t>Materias</t>
  </si>
  <si>
    <t>ModalidadeEnsino</t>
  </si>
  <si>
    <t>ModoPreparo</t>
  </si>
  <si>
    <t>Nutricionista</t>
  </si>
  <si>
    <t>OrcamentoAta</t>
  </si>
  <si>
    <t>OrigemAta</t>
  </si>
  <si>
    <t>Periodo</t>
  </si>
  <si>
    <t>PNAE</t>
  </si>
  <si>
    <t>Processos</t>
  </si>
  <si>
    <t>ProdutoPresentacao</t>
  </si>
  <si>
    <t>Produtos</t>
  </si>
  <si>
    <t>Professor</t>
  </si>
  <si>
    <t>QrCode</t>
  </si>
  <si>
    <t>ReceitaCardapio</t>
  </si>
  <si>
    <t>Refeicao</t>
  </si>
  <si>
    <t>RequisicaoMaterial</t>
  </si>
  <si>
    <t>RequisicaoMaterialSituacao</t>
  </si>
  <si>
    <t>Requisicoes</t>
  </si>
  <si>
    <t>RestricaoAlimentar</t>
  </si>
  <si>
    <t>SaidasPercaBaixas</t>
  </si>
  <si>
    <t>Secretaria</t>
  </si>
  <si>
    <t>Serie</t>
  </si>
  <si>
    <t>SituacaoAta</t>
  </si>
  <si>
    <t>SituacaoContrato</t>
  </si>
  <si>
    <t>SituacaoEscola</t>
  </si>
  <si>
    <t>SituacaoProcesso</t>
  </si>
  <si>
    <t>SituacaoRequisicaoMaterial</t>
  </si>
  <si>
    <t>TACO</t>
  </si>
  <si>
    <t>TesteAceitacao</t>
  </si>
  <si>
    <t>TipoAlimento</t>
  </si>
  <si>
    <t>TipoEntrada</t>
  </si>
  <si>
    <t>TipoEstoque</t>
  </si>
  <si>
    <t>TipoProcesso</t>
  </si>
  <si>
    <t>TipoSaida</t>
  </si>
  <si>
    <t>TiposFiscais</t>
  </si>
  <si>
    <t>TipoUnidadeMedida</t>
  </si>
  <si>
    <t>Turma</t>
  </si>
  <si>
    <t>UnidadeMedida</t>
  </si>
  <si>
    <t>30%Valor Agricultura Familiar</t>
  </si>
  <si>
    <t>Acesso</t>
  </si>
  <si>
    <t>Compras</t>
  </si>
  <si>
    <t>DefinicoesINEP</t>
  </si>
  <si>
    <t>DefinicoesPNAE</t>
  </si>
  <si>
    <t>FaixaEtaria Turno Custo Comensais</t>
  </si>
  <si>
    <t>GestorCompra e DividePorEscola</t>
  </si>
  <si>
    <t>Nutricionista Diretor Gestor FiscalSustentável Aluno Secretaria PaisResponsavel</t>
  </si>
  <si>
    <t>ue_unidade_educativa_modalidade_ensino_nivel_ensino</t>
  </si>
  <si>
    <t>ue_ensino_modalidade</t>
  </si>
  <si>
    <t>ue_ensino_nivel</t>
  </si>
  <si>
    <t>ue_ensino_turno</t>
  </si>
  <si>
    <t>ue_porte</t>
  </si>
  <si>
    <t>gov_uo_tipo</t>
  </si>
  <si>
    <t>gov_uo_sub_tipo</t>
  </si>
  <si>
    <t>see_uo_tipo</t>
  </si>
  <si>
    <t>see_suo_sub_tipo</t>
  </si>
  <si>
    <t>pref_uo_tipo</t>
  </si>
  <si>
    <t>pref_uo_sub_tipo</t>
  </si>
  <si>
    <t>seme_uo_tipo</t>
  </si>
  <si>
    <t>seme_uo_sub_tipo</t>
  </si>
  <si>
    <t>ue_uo_tipo</t>
  </si>
  <si>
    <t>ue_processo_tipo</t>
  </si>
  <si>
    <t>ue_aula_turma_tipo</t>
  </si>
  <si>
    <t>ue_aula_avaliacao_tipo</t>
  </si>
  <si>
    <t>nome_social     varchar(254) DEFAULT NULL,</t>
  </si>
  <si>
    <t>seme_unidade_educativa_tipo</t>
  </si>
  <si>
    <t>ue_processo_matricula_tipo</t>
  </si>
  <si>
    <t>ue_aula_curso_tipo</t>
  </si>
  <si>
    <t>ue_infraestrutura_tipo</t>
  </si>
  <si>
    <t>FK  ue_infraestrutura_tipo_id</t>
  </si>
  <si>
    <t>ue_unidade_educativa_uo</t>
  </si>
  <si>
    <t>Aux Escolar, Vigia, Coord Ensino</t>
  </si>
  <si>
    <t>ue_uo_diretor</t>
  </si>
  <si>
    <t>ue_uo_diretor_vice</t>
  </si>
  <si>
    <t>ue_uo_coord_administrativa</t>
  </si>
  <si>
    <t>ue_uo_coord_administrativa_responsavel</t>
  </si>
  <si>
    <t>ue_uo_secretaria_escolar</t>
  </si>
  <si>
    <t>ue_uo_secretaria_escolar_responsavel</t>
  </si>
  <si>
    <t>ue_uo_secretaria_auxiliar</t>
  </si>
  <si>
    <t>ue_uo_coord_pedagogica</t>
  </si>
  <si>
    <t>ue_uo_coord_pedagogica_responsavel</t>
  </si>
  <si>
    <t>ue_uo_escola_auxiliar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</si>
</sst>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0" fillId="5" borderId="2" xfId="0" applyFill="1" applyBorder="1"/>
    <xf numFmtId="0" fontId="0" fillId="5" borderId="2" xfId="0" quotePrefix="1" applyFill="1" applyBorder="1"/>
    <xf numFmtId="0" fontId="0" fillId="5" borderId="3" xfId="0" applyFill="1" applyBorder="1"/>
    <xf numFmtId="0" fontId="0" fillId="5" borderId="3" xfId="0" quotePrefix="1" applyFill="1" applyBorder="1"/>
    <xf numFmtId="0" fontId="0" fillId="5" borderId="4" xfId="0" applyFill="1" applyBorder="1"/>
    <xf numFmtId="0" fontId="0" fillId="5" borderId="4" xfId="0" quotePrefix="1" applyFill="1" applyBorder="1"/>
    <xf numFmtId="0" fontId="4" fillId="5" borderId="1" xfId="0" applyFont="1" applyFill="1" applyBorder="1"/>
    <xf numFmtId="0" fontId="0" fillId="4" borderId="3" xfId="0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6" fillId="0" borderId="0" xfId="0" applyFont="1"/>
    <xf numFmtId="0" fontId="6" fillId="0" borderId="5" xfId="0" applyFont="1" applyBorder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/>
    <xf numFmtId="0" fontId="5" fillId="6" borderId="0" xfId="0" applyFont="1" applyFill="1" applyAlignment="1">
      <alignment vertical="center" wrapText="1"/>
    </xf>
    <xf numFmtId="0" fontId="5" fillId="6" borderId="5" xfId="0" applyFont="1" applyFill="1" applyBorder="1" applyAlignment="1">
      <alignment wrapText="1"/>
    </xf>
    <xf numFmtId="0" fontId="5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wrapText="1"/>
    </xf>
    <xf numFmtId="0" fontId="5" fillId="3" borderId="5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BE56-E7B1-484D-987F-2029E163EC86}">
  <dimension ref="A3:E481"/>
  <sheetViews>
    <sheetView zoomScale="120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96" sqref="C96"/>
    </sheetView>
  </sheetViews>
  <sheetFormatPr baseColWidth="10" defaultColWidth="36" defaultRowHeight="11" x14ac:dyDescent="0.15"/>
  <cols>
    <col min="1" max="1" width="3.5" style="1" bestFit="1" customWidth="1"/>
    <col min="2" max="2" width="39.1640625" style="1" bestFit="1" customWidth="1"/>
    <col min="3" max="3" width="39" style="1" bestFit="1" customWidth="1"/>
    <col min="4" max="4" width="48.6640625" style="1" bestFit="1" customWidth="1"/>
    <col min="5" max="5" width="29.5" style="1" bestFit="1" customWidth="1"/>
    <col min="6" max="6" width="9.5" style="1" bestFit="1" customWidth="1"/>
    <col min="7" max="7" width="21.5" style="1" bestFit="1" customWidth="1"/>
    <col min="8" max="16384" width="36" style="1"/>
  </cols>
  <sheetData>
    <row r="3" spans="1:4" ht="12" x14ac:dyDescent="0.15">
      <c r="A3" s="1" t="s">
        <v>125</v>
      </c>
      <c r="B3" s="1" t="s">
        <v>82</v>
      </c>
      <c r="C3" s="1" t="s">
        <v>81</v>
      </c>
    </row>
    <row r="4" spans="1:4" s="7" customFormat="1" ht="12" x14ac:dyDescent="0.15">
      <c r="A4" s="7">
        <v>1</v>
      </c>
      <c r="C4" s="8" t="s">
        <v>0</v>
      </c>
    </row>
    <row r="5" spans="1:4" s="7" customFormat="1" ht="12" x14ac:dyDescent="0.15">
      <c r="C5" s="8"/>
      <c r="D5" s="7" t="s">
        <v>272</v>
      </c>
    </row>
    <row r="6" spans="1:4" s="7" customFormat="1" ht="12" x14ac:dyDescent="0.15">
      <c r="C6" s="8"/>
      <c r="D6" s="7" t="s">
        <v>292</v>
      </c>
    </row>
    <row r="7" spans="1:4" s="7" customFormat="1" ht="12" x14ac:dyDescent="0.15">
      <c r="C7" s="8"/>
      <c r="D7" s="7" t="s">
        <v>291</v>
      </c>
    </row>
    <row r="8" spans="1:4" s="7" customFormat="1" ht="12" x14ac:dyDescent="0.15">
      <c r="C8" s="8"/>
      <c r="D8" s="7" t="s">
        <v>274</v>
      </c>
    </row>
    <row r="9" spans="1:4" s="7" customFormat="1" ht="12" x14ac:dyDescent="0.15">
      <c r="A9" s="7">
        <v>2</v>
      </c>
      <c r="C9" s="8" t="s">
        <v>1</v>
      </c>
    </row>
    <row r="10" spans="1:4" s="7" customFormat="1" ht="12" x14ac:dyDescent="0.15">
      <c r="C10" s="8"/>
      <c r="D10" s="7" t="s">
        <v>281</v>
      </c>
    </row>
    <row r="11" spans="1:4" s="7" customFormat="1" ht="12" x14ac:dyDescent="0.15">
      <c r="A11" s="7">
        <v>3</v>
      </c>
      <c r="C11" s="8" t="s">
        <v>2</v>
      </c>
    </row>
    <row r="12" spans="1:4" s="7" customFormat="1" ht="12" x14ac:dyDescent="0.15">
      <c r="C12" s="8"/>
      <c r="D12" s="7" t="s">
        <v>275</v>
      </c>
    </row>
    <row r="13" spans="1:4" s="7" customFormat="1" ht="12" x14ac:dyDescent="0.15">
      <c r="A13" s="7">
        <v>4</v>
      </c>
      <c r="C13" s="8" t="s">
        <v>3</v>
      </c>
    </row>
    <row r="14" spans="1:4" s="7" customFormat="1" ht="12" x14ac:dyDescent="0.15">
      <c r="C14" s="8"/>
      <c r="D14" s="7" t="s">
        <v>275</v>
      </c>
    </row>
    <row r="15" spans="1:4" s="7" customFormat="1" ht="12" x14ac:dyDescent="0.15">
      <c r="C15" s="8"/>
      <c r="D15" s="7" t="s">
        <v>276</v>
      </c>
    </row>
    <row r="16" spans="1:4" s="7" customFormat="1" ht="12" x14ac:dyDescent="0.15">
      <c r="A16" s="7">
        <v>5</v>
      </c>
      <c r="C16" s="8" t="s">
        <v>4</v>
      </c>
    </row>
    <row r="17" spans="1:4" s="7" customFormat="1" ht="12" x14ac:dyDescent="0.15">
      <c r="C17" s="8"/>
      <c r="D17" s="7" t="s">
        <v>277</v>
      </c>
    </row>
    <row r="18" spans="1:4" s="7" customFormat="1" ht="12" x14ac:dyDescent="0.15">
      <c r="C18" s="8"/>
      <c r="D18" s="7" t="s">
        <v>278</v>
      </c>
    </row>
    <row r="19" spans="1:4" s="7" customFormat="1" ht="12" x14ac:dyDescent="0.15">
      <c r="A19" s="7">
        <v>6</v>
      </c>
      <c r="C19" s="8" t="s">
        <v>5</v>
      </c>
    </row>
    <row r="20" spans="1:4" s="7" customFormat="1" ht="12" x14ac:dyDescent="0.15">
      <c r="C20" s="8"/>
      <c r="D20" s="7" t="s">
        <v>282</v>
      </c>
    </row>
    <row r="21" spans="1:4" s="7" customFormat="1" ht="12" x14ac:dyDescent="0.15">
      <c r="C21" s="8"/>
      <c r="D21" s="7" t="s">
        <v>283</v>
      </c>
    </row>
    <row r="22" spans="1:4" s="7" customFormat="1" ht="12" x14ac:dyDescent="0.15">
      <c r="C22" s="8"/>
      <c r="D22" s="7" t="s">
        <v>284</v>
      </c>
    </row>
    <row r="23" spans="1:4" s="7" customFormat="1" ht="12" x14ac:dyDescent="0.15">
      <c r="A23" s="7">
        <v>7</v>
      </c>
      <c r="C23" s="8" t="s">
        <v>6</v>
      </c>
    </row>
    <row r="24" spans="1:4" s="7" customFormat="1" ht="12" x14ac:dyDescent="0.15">
      <c r="C24" s="8"/>
      <c r="D24" s="7" t="s">
        <v>273</v>
      </c>
    </row>
    <row r="25" spans="1:4" s="7" customFormat="1" ht="12" x14ac:dyDescent="0.15">
      <c r="C25" s="8"/>
      <c r="D25" s="7" t="s">
        <v>279</v>
      </c>
    </row>
    <row r="26" spans="1:4" s="7" customFormat="1" ht="12" x14ac:dyDescent="0.15">
      <c r="A26" s="7">
        <v>8</v>
      </c>
      <c r="C26" s="8" t="s">
        <v>7</v>
      </c>
    </row>
    <row r="27" spans="1:4" s="7" customFormat="1" ht="12" x14ac:dyDescent="0.15">
      <c r="C27" s="8"/>
      <c r="D27" s="7" t="s">
        <v>285</v>
      </c>
    </row>
    <row r="28" spans="1:4" s="7" customFormat="1" ht="12" x14ac:dyDescent="0.15">
      <c r="C28" s="8"/>
      <c r="D28" s="7" t="s">
        <v>286</v>
      </c>
    </row>
    <row r="29" spans="1:4" s="7" customFormat="1" ht="12" x14ac:dyDescent="0.15">
      <c r="C29" s="8"/>
      <c r="D29" s="7" t="s">
        <v>287</v>
      </c>
    </row>
    <row r="30" spans="1:4" s="7" customFormat="1" ht="12" x14ac:dyDescent="0.15">
      <c r="C30" s="8"/>
      <c r="D30" s="7" t="s">
        <v>288</v>
      </c>
    </row>
    <row r="31" spans="1:4" s="7" customFormat="1" ht="12" x14ac:dyDescent="0.15">
      <c r="A31" s="7">
        <v>9</v>
      </c>
      <c r="C31" s="8" t="s">
        <v>8</v>
      </c>
    </row>
    <row r="32" spans="1:4" s="7" customFormat="1" ht="12" x14ac:dyDescent="0.15">
      <c r="C32" s="8"/>
      <c r="D32" s="7" t="s">
        <v>285</v>
      </c>
    </row>
    <row r="33" spans="1:4" s="7" customFormat="1" ht="12" x14ac:dyDescent="0.15">
      <c r="C33" s="8"/>
      <c r="D33" s="7" t="s">
        <v>289</v>
      </c>
    </row>
    <row r="34" spans="1:4" s="7" customFormat="1" ht="12" x14ac:dyDescent="0.15">
      <c r="A34" s="7">
        <v>10</v>
      </c>
      <c r="C34" s="8" t="s">
        <v>293</v>
      </c>
    </row>
    <row r="35" spans="1:4" s="7" customFormat="1" ht="12" x14ac:dyDescent="0.15">
      <c r="C35" s="8"/>
      <c r="D35" s="7" t="s">
        <v>283</v>
      </c>
    </row>
    <row r="36" spans="1:4" s="7" customFormat="1" ht="12" x14ac:dyDescent="0.15">
      <c r="A36" s="7">
        <v>10</v>
      </c>
      <c r="C36" s="8" t="s">
        <v>9</v>
      </c>
    </row>
    <row r="37" spans="1:4" s="7" customFormat="1" ht="12" x14ac:dyDescent="0.15">
      <c r="C37" s="8"/>
      <c r="D37" s="7" t="s">
        <v>283</v>
      </c>
    </row>
    <row r="38" spans="1:4" s="7" customFormat="1" ht="12" x14ac:dyDescent="0.15">
      <c r="C38" s="8"/>
      <c r="D38" s="7" t="s">
        <v>294</v>
      </c>
    </row>
    <row r="39" spans="1:4" s="7" customFormat="1" ht="12" x14ac:dyDescent="0.15">
      <c r="C39" s="8"/>
      <c r="D39" s="7" t="s">
        <v>295</v>
      </c>
    </row>
    <row r="40" spans="1:4" s="7" customFormat="1" ht="12" x14ac:dyDescent="0.15">
      <c r="A40" s="7">
        <v>11</v>
      </c>
      <c r="C40" s="8" t="s">
        <v>160</v>
      </c>
    </row>
    <row r="41" spans="1:4" s="7" customFormat="1" ht="12" x14ac:dyDescent="0.15">
      <c r="A41" s="7">
        <v>12</v>
      </c>
      <c r="B41" s="7" t="s">
        <v>280</v>
      </c>
      <c r="C41" s="8"/>
      <c r="D41" s="7" t="s">
        <v>161</v>
      </c>
    </row>
    <row r="42" spans="1:4" s="7" customFormat="1" ht="12" x14ac:dyDescent="0.15">
      <c r="A42" s="7">
        <v>14</v>
      </c>
      <c r="B42" s="7" t="s">
        <v>297</v>
      </c>
      <c r="C42" s="8"/>
      <c r="D42" s="7" t="s">
        <v>292</v>
      </c>
    </row>
    <row r="43" spans="1:4" s="7" customFormat="1" ht="12" x14ac:dyDescent="0.15">
      <c r="A43" s="7">
        <v>15</v>
      </c>
      <c r="B43" s="7" t="s">
        <v>296</v>
      </c>
      <c r="C43" s="8"/>
      <c r="D43" s="7" t="s">
        <v>457</v>
      </c>
    </row>
    <row r="44" spans="1:4" s="7" customFormat="1" ht="12" x14ac:dyDescent="0.15">
      <c r="A44" s="7">
        <v>16</v>
      </c>
      <c r="B44" s="7" t="s">
        <v>298</v>
      </c>
      <c r="C44" s="8"/>
      <c r="D44" s="7" t="s">
        <v>299</v>
      </c>
    </row>
    <row r="45" spans="1:4" s="7" customFormat="1" ht="12" x14ac:dyDescent="0.15">
      <c r="A45" s="7">
        <v>40</v>
      </c>
      <c r="B45" s="7" t="s">
        <v>301</v>
      </c>
      <c r="C45" s="8"/>
      <c r="D45" s="7" t="s">
        <v>163</v>
      </c>
    </row>
    <row r="46" spans="1:4" s="7" customFormat="1" ht="12" x14ac:dyDescent="0.15">
      <c r="A46" s="7">
        <v>17</v>
      </c>
      <c r="B46" s="7" t="s">
        <v>300</v>
      </c>
      <c r="C46" s="8"/>
      <c r="D46" s="7" t="s">
        <v>162</v>
      </c>
    </row>
    <row r="47" spans="1:4" s="7" customFormat="1" ht="12" x14ac:dyDescent="0.15">
      <c r="A47" s="7">
        <v>18</v>
      </c>
      <c r="C47" s="8"/>
      <c r="D47" s="7" t="s">
        <v>164</v>
      </c>
    </row>
    <row r="48" spans="1:4" s="7" customFormat="1" ht="12" x14ac:dyDescent="0.15">
      <c r="A48" s="7">
        <v>19</v>
      </c>
      <c r="C48" s="8"/>
      <c r="D48" s="7" t="s">
        <v>165</v>
      </c>
    </row>
    <row r="49" spans="1:4" s="7" customFormat="1" ht="12" x14ac:dyDescent="0.15">
      <c r="A49" s="7">
        <v>20</v>
      </c>
      <c r="C49" s="8"/>
      <c r="D49" s="7" t="s">
        <v>166</v>
      </c>
    </row>
    <row r="50" spans="1:4" s="7" customFormat="1" ht="12" x14ac:dyDescent="0.15">
      <c r="A50" s="7">
        <v>21</v>
      </c>
      <c r="C50" s="8"/>
      <c r="D50" s="7" t="s">
        <v>169</v>
      </c>
    </row>
    <row r="51" spans="1:4" s="7" customFormat="1" ht="12" x14ac:dyDescent="0.15">
      <c r="A51" s="7">
        <v>22</v>
      </c>
      <c r="C51" s="8"/>
      <c r="D51" s="7" t="s">
        <v>303</v>
      </c>
    </row>
    <row r="52" spans="1:4" s="7" customFormat="1" ht="12" x14ac:dyDescent="0.15">
      <c r="A52" s="7">
        <v>23</v>
      </c>
      <c r="C52" s="8"/>
      <c r="D52" s="7" t="s">
        <v>304</v>
      </c>
    </row>
    <row r="53" spans="1:4" s="7" customFormat="1" ht="12" x14ac:dyDescent="0.15">
      <c r="A53" s="7">
        <v>24</v>
      </c>
      <c r="C53" s="8"/>
      <c r="D53" s="7" t="s">
        <v>305</v>
      </c>
    </row>
    <row r="54" spans="1:4" s="7" customFormat="1" ht="12" x14ac:dyDescent="0.15">
      <c r="A54" s="7">
        <v>25</v>
      </c>
      <c r="C54" s="8"/>
      <c r="D54" s="7" t="s">
        <v>309</v>
      </c>
    </row>
    <row r="55" spans="1:4" s="7" customFormat="1" ht="12" x14ac:dyDescent="0.15">
      <c r="A55" s="7">
        <v>26</v>
      </c>
      <c r="C55" s="8"/>
      <c r="D55" s="7" t="s">
        <v>167</v>
      </c>
    </row>
    <row r="56" spans="1:4" s="7" customFormat="1" ht="12" x14ac:dyDescent="0.15">
      <c r="A56" s="7">
        <v>27</v>
      </c>
      <c r="C56" s="8" t="s">
        <v>302</v>
      </c>
      <c r="D56" s="7" t="s">
        <v>306</v>
      </c>
    </row>
    <row r="57" spans="1:4" s="7" customFormat="1" ht="12" x14ac:dyDescent="0.15">
      <c r="A57" s="7">
        <v>28</v>
      </c>
      <c r="C57" s="8"/>
      <c r="D57" s="7" t="s">
        <v>308</v>
      </c>
    </row>
    <row r="58" spans="1:4" s="7" customFormat="1" ht="12" x14ac:dyDescent="0.15">
      <c r="A58" s="7">
        <v>29</v>
      </c>
      <c r="C58" s="8"/>
      <c r="D58" s="7" t="s">
        <v>168</v>
      </c>
    </row>
    <row r="59" spans="1:4" s="7" customFormat="1" ht="12" x14ac:dyDescent="0.15">
      <c r="A59" s="7">
        <v>30</v>
      </c>
      <c r="C59" s="8"/>
      <c r="D59" s="7" t="s">
        <v>307</v>
      </c>
    </row>
    <row r="60" spans="1:4" s="7" customFormat="1" ht="12" x14ac:dyDescent="0.15">
      <c r="A60" s="7">
        <v>31</v>
      </c>
      <c r="C60" s="8"/>
      <c r="D60" s="7" t="s">
        <v>170</v>
      </c>
    </row>
    <row r="61" spans="1:4" s="7" customFormat="1" ht="12" x14ac:dyDescent="0.15">
      <c r="A61" s="7">
        <v>32</v>
      </c>
      <c r="C61" s="8"/>
      <c r="D61" s="7" t="s">
        <v>171</v>
      </c>
    </row>
    <row r="62" spans="1:4" s="7" customFormat="1" ht="12" x14ac:dyDescent="0.15">
      <c r="A62" s="7">
        <v>33</v>
      </c>
      <c r="C62" s="8"/>
      <c r="D62" s="7" t="s">
        <v>172</v>
      </c>
    </row>
    <row r="63" spans="1:4" s="7" customFormat="1" ht="12" x14ac:dyDescent="0.15">
      <c r="A63" s="7">
        <v>34</v>
      </c>
      <c r="C63" s="8"/>
      <c r="D63" s="7" t="s">
        <v>173</v>
      </c>
    </row>
    <row r="64" spans="1:4" s="7" customFormat="1" ht="12" x14ac:dyDescent="0.15">
      <c r="A64" s="7">
        <v>35</v>
      </c>
      <c r="C64" s="8"/>
      <c r="D64" s="7" t="s">
        <v>174</v>
      </c>
    </row>
    <row r="65" spans="1:4" s="7" customFormat="1" ht="12" x14ac:dyDescent="0.15">
      <c r="A65" s="7">
        <v>42</v>
      </c>
      <c r="C65" s="8" t="s">
        <v>175</v>
      </c>
    </row>
    <row r="66" spans="1:4" s="7" customFormat="1" ht="12" x14ac:dyDescent="0.15">
      <c r="A66" s="7">
        <v>43</v>
      </c>
      <c r="C66" s="8"/>
      <c r="D66" s="7" t="s">
        <v>176</v>
      </c>
    </row>
    <row r="67" spans="1:4" s="7" customFormat="1" ht="12" x14ac:dyDescent="0.15">
      <c r="A67" s="7">
        <v>44</v>
      </c>
      <c r="C67" s="8"/>
      <c r="D67" s="7" t="s">
        <v>177</v>
      </c>
    </row>
    <row r="68" spans="1:4" s="7" customFormat="1" ht="12" x14ac:dyDescent="0.15">
      <c r="A68" s="7">
        <v>45</v>
      </c>
      <c r="C68" s="8"/>
      <c r="D68" s="7" t="s">
        <v>178</v>
      </c>
    </row>
    <row r="69" spans="1:4" s="7" customFormat="1" ht="12" x14ac:dyDescent="0.15">
      <c r="A69" s="7">
        <v>46</v>
      </c>
      <c r="C69" s="8"/>
      <c r="D69" s="7" t="s">
        <v>179</v>
      </c>
    </row>
    <row r="70" spans="1:4" s="7" customFormat="1" ht="12" x14ac:dyDescent="0.15">
      <c r="A70" s="7">
        <v>47</v>
      </c>
      <c r="C70" s="8"/>
      <c r="D70" s="7" t="s">
        <v>180</v>
      </c>
    </row>
    <row r="71" spans="1:4" s="7" customFormat="1" ht="12" x14ac:dyDescent="0.15">
      <c r="A71" s="7">
        <v>48</v>
      </c>
      <c r="C71" s="8"/>
      <c r="D71" s="7" t="s">
        <v>237</v>
      </c>
    </row>
    <row r="72" spans="1:4" s="7" customFormat="1" ht="12" x14ac:dyDescent="0.15">
      <c r="A72" s="7">
        <v>49</v>
      </c>
      <c r="C72" s="8"/>
      <c r="D72" s="7" t="s">
        <v>181</v>
      </c>
    </row>
    <row r="73" spans="1:4" s="7" customFormat="1" ht="12" x14ac:dyDescent="0.15">
      <c r="A73" s="7">
        <v>50</v>
      </c>
      <c r="C73" s="8"/>
      <c r="D73" s="7" t="s">
        <v>182</v>
      </c>
    </row>
    <row r="74" spans="1:4" s="7" customFormat="1" ht="12" x14ac:dyDescent="0.15">
      <c r="A74" s="7">
        <v>51</v>
      </c>
      <c r="C74" s="8"/>
      <c r="D74" s="7" t="s">
        <v>183</v>
      </c>
    </row>
    <row r="75" spans="1:4" s="7" customFormat="1" ht="12" x14ac:dyDescent="0.15">
      <c r="A75" s="7">
        <v>52</v>
      </c>
      <c r="C75" s="8"/>
      <c r="D75" s="7" t="s">
        <v>184</v>
      </c>
    </row>
    <row r="76" spans="1:4" s="7" customFormat="1" ht="12" x14ac:dyDescent="0.15">
      <c r="A76" s="7">
        <v>53</v>
      </c>
      <c r="C76" s="8"/>
      <c r="D76" s="7" t="s">
        <v>236</v>
      </c>
    </row>
    <row r="77" spans="1:4" s="7" customFormat="1" ht="12" x14ac:dyDescent="0.15">
      <c r="A77" s="7">
        <v>54</v>
      </c>
      <c r="C77" s="8"/>
      <c r="D77" s="7" t="s">
        <v>185</v>
      </c>
    </row>
    <row r="78" spans="1:4" s="7" customFormat="1" ht="12" x14ac:dyDescent="0.15">
      <c r="A78" s="7">
        <v>55</v>
      </c>
      <c r="C78" s="8"/>
      <c r="D78" s="7" t="s">
        <v>186</v>
      </c>
    </row>
    <row r="79" spans="1:4" s="7" customFormat="1" ht="12" x14ac:dyDescent="0.15">
      <c r="A79" s="7">
        <v>56</v>
      </c>
      <c r="C79" s="8"/>
      <c r="D79" s="7" t="s">
        <v>187</v>
      </c>
    </row>
    <row r="80" spans="1:4" s="7" customFormat="1" ht="12" x14ac:dyDescent="0.15">
      <c r="A80" s="7">
        <v>57</v>
      </c>
      <c r="C80" s="8"/>
      <c r="D80" s="7" t="s">
        <v>191</v>
      </c>
    </row>
    <row r="81" spans="1:4" s="7" customFormat="1" ht="12" x14ac:dyDescent="0.15">
      <c r="A81" s="7">
        <v>58</v>
      </c>
      <c r="C81" s="8"/>
      <c r="D81" s="7" t="s">
        <v>188</v>
      </c>
    </row>
    <row r="82" spans="1:4" s="7" customFormat="1" ht="12" x14ac:dyDescent="0.15">
      <c r="A82" s="7">
        <v>59</v>
      </c>
      <c r="C82" s="8"/>
      <c r="D82" s="7" t="s">
        <v>189</v>
      </c>
    </row>
    <row r="83" spans="1:4" s="7" customFormat="1" ht="12" x14ac:dyDescent="0.15">
      <c r="A83" s="7">
        <v>60</v>
      </c>
      <c r="C83" s="8"/>
      <c r="D83" s="7" t="s">
        <v>190</v>
      </c>
    </row>
    <row r="84" spans="1:4" s="7" customFormat="1" ht="12" x14ac:dyDescent="0.15">
      <c r="A84" s="7">
        <v>61</v>
      </c>
      <c r="C84" s="8" t="s">
        <v>192</v>
      </c>
    </row>
    <row r="85" spans="1:4" s="7" customFormat="1" ht="12" x14ac:dyDescent="0.15">
      <c r="A85" s="7">
        <v>62</v>
      </c>
      <c r="C85" s="8"/>
      <c r="D85" s="7" t="s">
        <v>193</v>
      </c>
    </row>
    <row r="86" spans="1:4" s="7" customFormat="1" ht="12" x14ac:dyDescent="0.15">
      <c r="A86" s="7">
        <v>63</v>
      </c>
      <c r="C86" s="8"/>
      <c r="D86" s="7" t="s">
        <v>194</v>
      </c>
    </row>
    <row r="87" spans="1:4" s="7" customFormat="1" ht="12" x14ac:dyDescent="0.15">
      <c r="A87" s="7">
        <v>64</v>
      </c>
      <c r="C87" s="8"/>
      <c r="D87" s="7" t="s">
        <v>195</v>
      </c>
    </row>
    <row r="88" spans="1:4" s="7" customFormat="1" ht="12" x14ac:dyDescent="0.15">
      <c r="A88" s="7">
        <v>65</v>
      </c>
      <c r="C88" s="8"/>
      <c r="D88" s="7" t="s">
        <v>196</v>
      </c>
    </row>
    <row r="89" spans="1:4" s="7" customFormat="1" ht="12" x14ac:dyDescent="0.15">
      <c r="A89" s="7">
        <v>66</v>
      </c>
      <c r="C89" s="8"/>
      <c r="D89" s="7" t="s">
        <v>197</v>
      </c>
    </row>
    <row r="90" spans="1:4" s="7" customFormat="1" ht="12" x14ac:dyDescent="0.15">
      <c r="A90" s="7">
        <v>67</v>
      </c>
      <c r="C90" s="8"/>
      <c r="D90" s="7" t="s">
        <v>198</v>
      </c>
    </row>
    <row r="91" spans="1:4" s="7" customFormat="1" ht="12" x14ac:dyDescent="0.15">
      <c r="A91" s="7">
        <v>68</v>
      </c>
      <c r="C91" s="8"/>
      <c r="D91" s="7" t="s">
        <v>199</v>
      </c>
    </row>
    <row r="92" spans="1:4" s="7" customFormat="1" ht="12" x14ac:dyDescent="0.15">
      <c r="A92" s="7">
        <v>69</v>
      </c>
      <c r="C92" s="8"/>
      <c r="D92" s="7" t="s">
        <v>200</v>
      </c>
    </row>
    <row r="93" spans="1:4" s="7" customFormat="1" ht="12" x14ac:dyDescent="0.15">
      <c r="A93" s="7">
        <v>70</v>
      </c>
      <c r="C93" s="8"/>
      <c r="D93" s="7" t="s">
        <v>201</v>
      </c>
    </row>
    <row r="94" spans="1:4" s="7" customFormat="1" ht="12" x14ac:dyDescent="0.15">
      <c r="A94" s="7">
        <v>71</v>
      </c>
      <c r="C94" s="8"/>
      <c r="D94" s="7" t="s">
        <v>202</v>
      </c>
    </row>
    <row r="95" spans="1:4" s="7" customFormat="1" ht="12" x14ac:dyDescent="0.15">
      <c r="A95" s="7">
        <v>72</v>
      </c>
      <c r="C95" s="8"/>
      <c r="D95" s="7" t="s">
        <v>203</v>
      </c>
    </row>
    <row r="96" spans="1:4" s="7" customFormat="1" ht="12" x14ac:dyDescent="0.15">
      <c r="A96" s="7">
        <v>73</v>
      </c>
      <c r="C96" s="8"/>
      <c r="D96" s="7" t="s">
        <v>204</v>
      </c>
    </row>
    <row r="97" spans="1:4" s="7" customFormat="1" ht="12" x14ac:dyDescent="0.15">
      <c r="A97" s="7">
        <v>74</v>
      </c>
      <c r="C97" s="8"/>
      <c r="D97" s="7" t="s">
        <v>235</v>
      </c>
    </row>
    <row r="98" spans="1:4" s="7" customFormat="1" ht="12" x14ac:dyDescent="0.15">
      <c r="A98" s="7">
        <v>75</v>
      </c>
      <c r="C98" s="8"/>
      <c r="D98" s="7" t="s">
        <v>205</v>
      </c>
    </row>
    <row r="99" spans="1:4" s="7" customFormat="1" ht="12" x14ac:dyDescent="0.15">
      <c r="A99" s="7">
        <v>76</v>
      </c>
      <c r="C99" s="8"/>
      <c r="D99" s="7" t="s">
        <v>206</v>
      </c>
    </row>
    <row r="100" spans="1:4" s="7" customFormat="1" ht="12" x14ac:dyDescent="0.15">
      <c r="A100" s="7">
        <v>77</v>
      </c>
      <c r="C100" s="8"/>
      <c r="D100" s="7" t="s">
        <v>207</v>
      </c>
    </row>
    <row r="101" spans="1:4" s="7" customFormat="1" ht="12" x14ac:dyDescent="0.15">
      <c r="A101" s="7">
        <v>78</v>
      </c>
      <c r="C101" s="8"/>
      <c r="D101" s="7" t="s">
        <v>208</v>
      </c>
    </row>
    <row r="102" spans="1:4" s="7" customFormat="1" ht="12" x14ac:dyDescent="0.15">
      <c r="A102" s="7">
        <v>79</v>
      </c>
      <c r="C102" s="8"/>
      <c r="D102" s="7" t="s">
        <v>209</v>
      </c>
    </row>
    <row r="103" spans="1:4" s="7" customFormat="1" ht="12" x14ac:dyDescent="0.15">
      <c r="A103" s="7">
        <v>80</v>
      </c>
      <c r="C103" s="8"/>
      <c r="D103" s="7" t="s">
        <v>210</v>
      </c>
    </row>
    <row r="104" spans="1:4" s="7" customFormat="1" ht="12" x14ac:dyDescent="0.15">
      <c r="A104" s="7">
        <v>81</v>
      </c>
      <c r="C104" s="8"/>
      <c r="D104" s="7" t="s">
        <v>211</v>
      </c>
    </row>
    <row r="105" spans="1:4" s="7" customFormat="1" ht="12" x14ac:dyDescent="0.15">
      <c r="A105" s="7">
        <v>82</v>
      </c>
      <c r="C105" s="8"/>
      <c r="D105" s="7" t="s">
        <v>212</v>
      </c>
    </row>
    <row r="106" spans="1:4" s="7" customFormat="1" ht="12" x14ac:dyDescent="0.15">
      <c r="A106" s="7">
        <v>83</v>
      </c>
      <c r="C106" s="8"/>
      <c r="D106" s="7" t="s">
        <v>213</v>
      </c>
    </row>
    <row r="107" spans="1:4" s="7" customFormat="1" ht="12" x14ac:dyDescent="0.15">
      <c r="A107" s="7">
        <v>84</v>
      </c>
      <c r="C107" s="8"/>
      <c r="D107" s="7" t="s">
        <v>214</v>
      </c>
    </row>
    <row r="108" spans="1:4" s="7" customFormat="1" ht="12" x14ac:dyDescent="0.15">
      <c r="A108" s="7">
        <v>85</v>
      </c>
      <c r="C108" s="8"/>
      <c r="D108" s="7" t="s">
        <v>215</v>
      </c>
    </row>
    <row r="109" spans="1:4" s="7" customFormat="1" ht="12" x14ac:dyDescent="0.15">
      <c r="A109" s="7">
        <v>86</v>
      </c>
      <c r="C109" s="8"/>
      <c r="D109" s="7" t="s">
        <v>216</v>
      </c>
    </row>
    <row r="110" spans="1:4" s="7" customFormat="1" ht="12" x14ac:dyDescent="0.15">
      <c r="A110" s="7">
        <v>87</v>
      </c>
      <c r="C110" s="8"/>
      <c r="D110" s="7" t="s">
        <v>217</v>
      </c>
    </row>
    <row r="111" spans="1:4" s="7" customFormat="1" ht="12" x14ac:dyDescent="0.15">
      <c r="A111" s="7">
        <v>88</v>
      </c>
      <c r="C111" s="8"/>
      <c r="D111" s="7" t="s">
        <v>218</v>
      </c>
    </row>
    <row r="112" spans="1:4" s="7" customFormat="1" ht="12" x14ac:dyDescent="0.15">
      <c r="A112" s="7">
        <v>89</v>
      </c>
      <c r="C112" s="8"/>
      <c r="D112" s="7" t="s">
        <v>219</v>
      </c>
    </row>
    <row r="113" spans="1:4" s="7" customFormat="1" ht="12" x14ac:dyDescent="0.15">
      <c r="A113" s="7">
        <v>90</v>
      </c>
      <c r="C113" s="8"/>
      <c r="D113" s="7" t="s">
        <v>220</v>
      </c>
    </row>
    <row r="114" spans="1:4" s="7" customFormat="1" ht="12" x14ac:dyDescent="0.15">
      <c r="A114" s="7">
        <v>91</v>
      </c>
      <c r="C114" s="8"/>
      <c r="D114" s="7" t="s">
        <v>221</v>
      </c>
    </row>
    <row r="115" spans="1:4" s="7" customFormat="1" ht="12" x14ac:dyDescent="0.15">
      <c r="A115" s="7">
        <v>92</v>
      </c>
      <c r="C115" s="8"/>
      <c r="D115" s="7" t="s">
        <v>222</v>
      </c>
    </row>
    <row r="116" spans="1:4" s="7" customFormat="1" ht="12" x14ac:dyDescent="0.15">
      <c r="A116" s="7">
        <v>93</v>
      </c>
      <c r="C116" s="8"/>
      <c r="D116" s="7" t="s">
        <v>223</v>
      </c>
    </row>
    <row r="117" spans="1:4" s="7" customFormat="1" ht="12" x14ac:dyDescent="0.15">
      <c r="A117" s="7">
        <v>94</v>
      </c>
      <c r="C117" s="8"/>
      <c r="D117" s="7" t="s">
        <v>224</v>
      </c>
    </row>
    <row r="118" spans="1:4" s="7" customFormat="1" ht="12" x14ac:dyDescent="0.15">
      <c r="A118" s="7">
        <v>95</v>
      </c>
      <c r="C118" s="8"/>
      <c r="D118" s="7" t="s">
        <v>225</v>
      </c>
    </row>
    <row r="119" spans="1:4" s="7" customFormat="1" ht="12" x14ac:dyDescent="0.15">
      <c r="A119" s="7">
        <v>96</v>
      </c>
      <c r="C119" s="8"/>
      <c r="D119" s="7" t="s">
        <v>226</v>
      </c>
    </row>
    <row r="120" spans="1:4" s="7" customFormat="1" ht="12" x14ac:dyDescent="0.15">
      <c r="A120" s="7">
        <v>97</v>
      </c>
      <c r="C120" s="8"/>
      <c r="D120" s="7" t="s">
        <v>227</v>
      </c>
    </row>
    <row r="121" spans="1:4" s="7" customFormat="1" ht="12" x14ac:dyDescent="0.15">
      <c r="A121" s="7">
        <v>98</v>
      </c>
      <c r="C121" s="8"/>
      <c r="D121" s="7" t="s">
        <v>228</v>
      </c>
    </row>
    <row r="122" spans="1:4" s="7" customFormat="1" ht="12" x14ac:dyDescent="0.15">
      <c r="A122" s="7">
        <v>99</v>
      </c>
      <c r="C122" s="8"/>
      <c r="D122" s="7" t="s">
        <v>229</v>
      </c>
    </row>
    <row r="123" spans="1:4" s="7" customFormat="1" ht="12" x14ac:dyDescent="0.15">
      <c r="A123" s="7">
        <v>100</v>
      </c>
      <c r="C123" s="8"/>
      <c r="D123" s="7" t="s">
        <v>230</v>
      </c>
    </row>
    <row r="124" spans="1:4" s="7" customFormat="1" ht="12" x14ac:dyDescent="0.15">
      <c r="A124" s="7">
        <v>101</v>
      </c>
      <c r="C124" s="8"/>
      <c r="D124" s="7" t="s">
        <v>231</v>
      </c>
    </row>
    <row r="125" spans="1:4" s="7" customFormat="1" ht="12" x14ac:dyDescent="0.15">
      <c r="A125" s="7">
        <v>102</v>
      </c>
      <c r="C125" s="8"/>
      <c r="D125" s="7" t="s">
        <v>232</v>
      </c>
    </row>
    <row r="126" spans="1:4" s="7" customFormat="1" ht="12" x14ac:dyDescent="0.15">
      <c r="A126" s="7">
        <v>103</v>
      </c>
      <c r="C126" s="8"/>
      <c r="D126" s="7" t="s">
        <v>233</v>
      </c>
    </row>
    <row r="127" spans="1:4" s="7" customFormat="1" ht="12" x14ac:dyDescent="0.15">
      <c r="A127" s="7">
        <v>104</v>
      </c>
      <c r="C127" s="8"/>
      <c r="D127" s="7" t="s">
        <v>234</v>
      </c>
    </row>
    <row r="128" spans="1:4" ht="12" x14ac:dyDescent="0.15">
      <c r="A128" s="1">
        <v>105</v>
      </c>
      <c r="C128" s="2" t="s">
        <v>10</v>
      </c>
    </row>
    <row r="129" spans="1:5" ht="12" x14ac:dyDescent="0.15">
      <c r="C129" s="2"/>
      <c r="D129" s="6" t="s">
        <v>285</v>
      </c>
      <c r="E129" s="3"/>
    </row>
    <row r="130" spans="1:5" ht="12" x14ac:dyDescent="0.15">
      <c r="A130" s="1">
        <v>106</v>
      </c>
      <c r="C130" s="2" t="s">
        <v>11</v>
      </c>
    </row>
    <row r="131" spans="1:5" ht="12" x14ac:dyDescent="0.15">
      <c r="C131" s="2"/>
      <c r="D131" s="6" t="s">
        <v>285</v>
      </c>
      <c r="E131" s="3"/>
    </row>
    <row r="132" spans="1:5" ht="12" x14ac:dyDescent="0.15">
      <c r="A132" s="1">
        <v>107</v>
      </c>
      <c r="B132" s="1" t="s">
        <v>84</v>
      </c>
      <c r="C132" s="2" t="s">
        <v>445</v>
      </c>
    </row>
    <row r="133" spans="1:5" ht="12" x14ac:dyDescent="0.15">
      <c r="C133" s="2"/>
      <c r="D133" s="6" t="s">
        <v>285</v>
      </c>
      <c r="E133" s="3"/>
    </row>
    <row r="134" spans="1:5" ht="12" x14ac:dyDescent="0.15">
      <c r="C134" s="2"/>
      <c r="D134" s="6" t="s">
        <v>290</v>
      </c>
      <c r="E134" s="3"/>
    </row>
    <row r="135" spans="1:5" ht="12" x14ac:dyDescent="0.15">
      <c r="A135" s="1">
        <v>108</v>
      </c>
      <c r="B135" s="1" t="s">
        <v>86</v>
      </c>
      <c r="C135" s="2" t="s">
        <v>85</v>
      </c>
    </row>
    <row r="136" spans="1:5" ht="12" x14ac:dyDescent="0.15">
      <c r="C136" s="2"/>
      <c r="D136" s="6" t="s">
        <v>285</v>
      </c>
      <c r="E136" s="3"/>
    </row>
    <row r="137" spans="1:5" ht="12" x14ac:dyDescent="0.15">
      <c r="A137" s="1">
        <v>109</v>
      </c>
      <c r="B137" s="1" t="s">
        <v>92</v>
      </c>
      <c r="C137" s="2" t="s">
        <v>446</v>
      </c>
    </row>
    <row r="138" spans="1:5" ht="12" x14ac:dyDescent="0.15">
      <c r="C138" s="2"/>
      <c r="D138" s="6" t="s">
        <v>285</v>
      </c>
      <c r="E138" s="3"/>
    </row>
    <row r="139" spans="1:5" ht="12" x14ac:dyDescent="0.15">
      <c r="C139" s="2"/>
      <c r="D139" s="6" t="s">
        <v>290</v>
      </c>
      <c r="E139" s="3"/>
    </row>
    <row r="140" spans="1:5" ht="12" x14ac:dyDescent="0.15">
      <c r="A140" s="1">
        <v>110</v>
      </c>
      <c r="C140" s="2" t="s">
        <v>12</v>
      </c>
    </row>
    <row r="141" spans="1:5" ht="12" x14ac:dyDescent="0.15">
      <c r="C141" s="2"/>
      <c r="D141" s="6" t="s">
        <v>285</v>
      </c>
      <c r="E141" s="3"/>
    </row>
    <row r="142" spans="1:5" ht="12" x14ac:dyDescent="0.15">
      <c r="C142" s="2"/>
      <c r="D142" s="6" t="s">
        <v>290</v>
      </c>
      <c r="E142" s="3"/>
    </row>
    <row r="143" spans="1:5" ht="12" x14ac:dyDescent="0.15">
      <c r="A143" s="1">
        <v>111</v>
      </c>
      <c r="B143" s="1" t="s">
        <v>88</v>
      </c>
      <c r="C143" s="2" t="s">
        <v>87</v>
      </c>
    </row>
    <row r="144" spans="1:5" ht="12" x14ac:dyDescent="0.15">
      <c r="C144" s="2"/>
      <c r="D144" s="6" t="s">
        <v>285</v>
      </c>
      <c r="E144" s="3"/>
    </row>
    <row r="145" spans="1:5" ht="12" x14ac:dyDescent="0.15">
      <c r="C145" s="2"/>
      <c r="D145" s="6" t="s">
        <v>290</v>
      </c>
      <c r="E145" s="3"/>
    </row>
    <row r="146" spans="1:5" ht="12" x14ac:dyDescent="0.15">
      <c r="A146" s="1">
        <v>112</v>
      </c>
      <c r="B146" s="1" t="s">
        <v>90</v>
      </c>
      <c r="C146" s="2" t="s">
        <v>89</v>
      </c>
    </row>
    <row r="147" spans="1:5" ht="12" x14ac:dyDescent="0.15">
      <c r="C147" s="2"/>
      <c r="D147" s="6" t="s">
        <v>290</v>
      </c>
      <c r="E147" s="3"/>
    </row>
    <row r="148" spans="1:5" ht="12" x14ac:dyDescent="0.15">
      <c r="A148" s="1">
        <v>113</v>
      </c>
      <c r="B148" s="1" t="s">
        <v>94</v>
      </c>
      <c r="C148" s="2" t="s">
        <v>447</v>
      </c>
    </row>
    <row r="149" spans="1:5" ht="12" x14ac:dyDescent="0.15">
      <c r="C149" s="2"/>
      <c r="D149" s="6" t="s">
        <v>285</v>
      </c>
      <c r="E149" s="3"/>
    </row>
    <row r="150" spans="1:5" ht="12" x14ac:dyDescent="0.15">
      <c r="C150" s="2"/>
      <c r="D150" s="6" t="s">
        <v>290</v>
      </c>
      <c r="E150" s="3"/>
    </row>
    <row r="151" spans="1:5" ht="12" x14ac:dyDescent="0.15">
      <c r="A151" s="1">
        <v>114</v>
      </c>
      <c r="B151" s="1" t="s">
        <v>96</v>
      </c>
      <c r="C151" s="2" t="s">
        <v>95</v>
      </c>
    </row>
    <row r="152" spans="1:5" ht="12" x14ac:dyDescent="0.15">
      <c r="C152" s="2"/>
      <c r="D152" s="6" t="s">
        <v>285</v>
      </c>
      <c r="E152" s="3"/>
    </row>
    <row r="153" spans="1:5" ht="12" x14ac:dyDescent="0.15">
      <c r="C153" s="2"/>
      <c r="D153" s="6" t="s">
        <v>290</v>
      </c>
      <c r="E153" s="3"/>
    </row>
    <row r="154" spans="1:5" ht="12" x14ac:dyDescent="0.15">
      <c r="A154" s="1">
        <v>115</v>
      </c>
      <c r="B154" s="1" t="s">
        <v>98</v>
      </c>
      <c r="C154" s="2" t="s">
        <v>448</v>
      </c>
    </row>
    <row r="155" spans="1:5" ht="12" x14ac:dyDescent="0.15">
      <c r="C155" s="2"/>
      <c r="D155" s="6" t="s">
        <v>285</v>
      </c>
      <c r="E155" s="3"/>
    </row>
    <row r="156" spans="1:5" ht="12" x14ac:dyDescent="0.15">
      <c r="C156" s="2"/>
      <c r="D156" s="6" t="s">
        <v>290</v>
      </c>
      <c r="E156" s="3"/>
    </row>
    <row r="157" spans="1:5" ht="12" x14ac:dyDescent="0.15">
      <c r="A157" s="1">
        <v>116</v>
      </c>
      <c r="B157" s="1" t="s">
        <v>100</v>
      </c>
      <c r="C157" s="2" t="s">
        <v>99</v>
      </c>
    </row>
    <row r="158" spans="1:5" ht="12" x14ac:dyDescent="0.15">
      <c r="C158" s="2"/>
      <c r="D158" s="6" t="s">
        <v>285</v>
      </c>
      <c r="E158" s="3"/>
    </row>
    <row r="159" spans="1:5" ht="12" x14ac:dyDescent="0.15">
      <c r="C159" s="2"/>
      <c r="D159" s="6" t="s">
        <v>290</v>
      </c>
      <c r="E159" s="3"/>
    </row>
    <row r="160" spans="1:5" ht="12" x14ac:dyDescent="0.15">
      <c r="A160" s="1">
        <v>117</v>
      </c>
      <c r="C160" s="2" t="s">
        <v>101</v>
      </c>
    </row>
    <row r="161" spans="1:5" ht="12" x14ac:dyDescent="0.15">
      <c r="C161" s="2"/>
      <c r="D161" s="6" t="s">
        <v>285</v>
      </c>
      <c r="E161" s="3"/>
    </row>
    <row r="162" spans="1:5" ht="12" x14ac:dyDescent="0.15">
      <c r="C162" s="2"/>
      <c r="D162" s="6" t="s">
        <v>290</v>
      </c>
      <c r="E162" s="3"/>
    </row>
    <row r="163" spans="1:5" ht="12" x14ac:dyDescent="0.15">
      <c r="A163" s="1">
        <v>118</v>
      </c>
      <c r="C163" s="2" t="s">
        <v>13</v>
      </c>
    </row>
    <row r="164" spans="1:5" ht="12" x14ac:dyDescent="0.15">
      <c r="C164" s="2"/>
      <c r="D164" s="6" t="s">
        <v>285</v>
      </c>
      <c r="E164" s="3"/>
    </row>
    <row r="165" spans="1:5" ht="12" x14ac:dyDescent="0.15">
      <c r="C165" s="2"/>
      <c r="D165" s="6" t="s">
        <v>290</v>
      </c>
      <c r="E165" s="3"/>
    </row>
    <row r="166" spans="1:5" ht="12" x14ac:dyDescent="0.15">
      <c r="A166" s="1">
        <v>119</v>
      </c>
      <c r="C166" s="2" t="s">
        <v>14</v>
      </c>
    </row>
    <row r="167" spans="1:5" ht="12" x14ac:dyDescent="0.15">
      <c r="C167" s="2"/>
      <c r="D167" s="6" t="s">
        <v>290</v>
      </c>
      <c r="E167" s="3"/>
    </row>
    <row r="168" spans="1:5" ht="12" x14ac:dyDescent="0.15">
      <c r="A168" s="1">
        <v>120</v>
      </c>
      <c r="B168" s="1" t="s">
        <v>84</v>
      </c>
      <c r="C168" s="2" t="s">
        <v>449</v>
      </c>
    </row>
    <row r="169" spans="1:5" ht="12" x14ac:dyDescent="0.15">
      <c r="C169" s="2"/>
      <c r="D169" s="6" t="s">
        <v>285</v>
      </c>
      <c r="E169" s="3"/>
    </row>
    <row r="170" spans="1:5" ht="12" x14ac:dyDescent="0.15">
      <c r="C170" s="2"/>
      <c r="D170" s="6" t="s">
        <v>290</v>
      </c>
      <c r="E170" s="3"/>
    </row>
    <row r="171" spans="1:5" ht="12" x14ac:dyDescent="0.15">
      <c r="A171" s="1">
        <v>121</v>
      </c>
      <c r="B171" s="1" t="s">
        <v>104</v>
      </c>
      <c r="C171" s="2" t="s">
        <v>103</v>
      </c>
    </row>
    <row r="172" spans="1:5" ht="12" x14ac:dyDescent="0.15">
      <c r="C172" s="2"/>
      <c r="D172" s="6" t="s">
        <v>285</v>
      </c>
      <c r="E172" s="3"/>
    </row>
    <row r="173" spans="1:5" ht="12" x14ac:dyDescent="0.15">
      <c r="C173" s="2"/>
      <c r="D173" s="6" t="s">
        <v>290</v>
      </c>
      <c r="E173" s="3"/>
    </row>
    <row r="174" spans="1:5" ht="12" x14ac:dyDescent="0.15">
      <c r="A174" s="1">
        <v>122</v>
      </c>
      <c r="B174" s="1" t="s">
        <v>106</v>
      </c>
      <c r="C174" s="2" t="s">
        <v>450</v>
      </c>
    </row>
    <row r="175" spans="1:5" ht="12" x14ac:dyDescent="0.15">
      <c r="C175" s="2"/>
      <c r="D175" s="6" t="s">
        <v>285</v>
      </c>
      <c r="E175" s="3"/>
    </row>
    <row r="176" spans="1:5" ht="12" x14ac:dyDescent="0.15">
      <c r="C176" s="2"/>
      <c r="D176" s="6" t="s">
        <v>290</v>
      </c>
      <c r="E176" s="3"/>
    </row>
    <row r="177" spans="1:5" ht="12" x14ac:dyDescent="0.15">
      <c r="A177" s="1">
        <v>123</v>
      </c>
      <c r="C177" s="2" t="s">
        <v>15</v>
      </c>
    </row>
    <row r="178" spans="1:5" ht="12" x14ac:dyDescent="0.15">
      <c r="C178" s="2"/>
      <c r="D178" s="6" t="s">
        <v>285</v>
      </c>
      <c r="E178" s="3"/>
    </row>
    <row r="179" spans="1:5" ht="12" x14ac:dyDescent="0.15">
      <c r="C179" s="2"/>
      <c r="D179" s="6" t="s">
        <v>290</v>
      </c>
      <c r="E179" s="3"/>
    </row>
    <row r="180" spans="1:5" ht="12" x14ac:dyDescent="0.15">
      <c r="A180" s="1">
        <v>124</v>
      </c>
      <c r="B180" s="1" t="s">
        <v>108</v>
      </c>
      <c r="C180" s="2" t="s">
        <v>107</v>
      </c>
    </row>
    <row r="181" spans="1:5" ht="12" x14ac:dyDescent="0.15">
      <c r="C181" s="2"/>
      <c r="D181" s="6" t="s">
        <v>285</v>
      </c>
      <c r="E181" s="3"/>
    </row>
    <row r="182" spans="1:5" ht="12" x14ac:dyDescent="0.15">
      <c r="C182" s="2"/>
      <c r="D182" s="6" t="s">
        <v>290</v>
      </c>
      <c r="E182" s="3"/>
    </row>
    <row r="183" spans="1:5" ht="12" x14ac:dyDescent="0.15">
      <c r="A183" s="1">
        <v>125</v>
      </c>
      <c r="C183" s="2" t="s">
        <v>109</v>
      </c>
    </row>
    <row r="184" spans="1:5" ht="12" x14ac:dyDescent="0.15">
      <c r="C184" s="2"/>
      <c r="D184" s="6" t="s">
        <v>290</v>
      </c>
      <c r="E184" s="3"/>
    </row>
    <row r="185" spans="1:5" ht="12" x14ac:dyDescent="0.15">
      <c r="A185" s="1">
        <v>126</v>
      </c>
      <c r="B185" s="1" t="s">
        <v>94</v>
      </c>
      <c r="C185" s="2" t="s">
        <v>451</v>
      </c>
    </row>
    <row r="186" spans="1:5" ht="12" x14ac:dyDescent="0.15">
      <c r="C186" s="2"/>
      <c r="D186" s="6" t="s">
        <v>285</v>
      </c>
      <c r="E186" s="3"/>
    </row>
    <row r="187" spans="1:5" ht="12" x14ac:dyDescent="0.15">
      <c r="C187" s="2"/>
      <c r="D187" s="6" t="s">
        <v>290</v>
      </c>
      <c r="E187" s="3"/>
    </row>
    <row r="188" spans="1:5" ht="12" x14ac:dyDescent="0.15">
      <c r="A188" s="1">
        <v>127</v>
      </c>
      <c r="B188" s="1" t="s">
        <v>96</v>
      </c>
      <c r="C188" s="2" t="s">
        <v>111</v>
      </c>
    </row>
    <row r="189" spans="1:5" ht="12" x14ac:dyDescent="0.15">
      <c r="C189" s="2"/>
      <c r="D189" s="6" t="s">
        <v>285</v>
      </c>
      <c r="E189" s="3"/>
    </row>
    <row r="190" spans="1:5" ht="12" x14ac:dyDescent="0.15">
      <c r="C190" s="2"/>
      <c r="D190" s="6" t="s">
        <v>290</v>
      </c>
      <c r="E190" s="3"/>
    </row>
    <row r="191" spans="1:5" ht="12" x14ac:dyDescent="0.15">
      <c r="A191" s="1">
        <v>128</v>
      </c>
      <c r="C191" s="2" t="s">
        <v>16</v>
      </c>
    </row>
    <row r="192" spans="1:5" ht="12" x14ac:dyDescent="0.15">
      <c r="C192" s="2"/>
      <c r="D192" s="6" t="s">
        <v>290</v>
      </c>
      <c r="E192" s="3"/>
    </row>
    <row r="193" spans="1:5" ht="12" x14ac:dyDescent="0.15">
      <c r="A193" s="1">
        <v>129</v>
      </c>
      <c r="B193" s="1" t="s">
        <v>113</v>
      </c>
      <c r="C193" s="2" t="s">
        <v>452</v>
      </c>
    </row>
    <row r="194" spans="1:5" ht="12" x14ac:dyDescent="0.15">
      <c r="C194" s="2"/>
      <c r="D194" s="6" t="s">
        <v>285</v>
      </c>
      <c r="E194" s="3"/>
    </row>
    <row r="195" spans="1:5" ht="12" x14ac:dyDescent="0.15">
      <c r="C195" s="2"/>
      <c r="D195" s="6" t="s">
        <v>290</v>
      </c>
      <c r="E195" s="3"/>
    </row>
    <row r="196" spans="1:5" ht="12" x14ac:dyDescent="0.15">
      <c r="A196" s="1">
        <v>130</v>
      </c>
      <c r="B196" s="1" t="s">
        <v>100</v>
      </c>
      <c r="C196" s="2" t="s">
        <v>114</v>
      </c>
    </row>
    <row r="197" spans="1:5" ht="12" x14ac:dyDescent="0.15">
      <c r="C197" s="2"/>
      <c r="D197" s="6" t="s">
        <v>285</v>
      </c>
      <c r="E197" s="3"/>
    </row>
    <row r="198" spans="1:5" ht="12" x14ac:dyDescent="0.15">
      <c r="C198" s="2"/>
      <c r="D198" s="6" t="s">
        <v>290</v>
      </c>
      <c r="E198" s="3"/>
    </row>
    <row r="199" spans="1:5" ht="12" x14ac:dyDescent="0.15">
      <c r="A199" s="1">
        <v>131</v>
      </c>
      <c r="C199" s="2" t="s">
        <v>17</v>
      </c>
    </row>
    <row r="200" spans="1:5" ht="12" x14ac:dyDescent="0.15">
      <c r="C200" s="2"/>
      <c r="D200" s="6" t="s">
        <v>290</v>
      </c>
      <c r="E200" s="3"/>
    </row>
    <row r="201" spans="1:5" ht="12" x14ac:dyDescent="0.15">
      <c r="A201" s="1">
        <v>132</v>
      </c>
      <c r="B201" s="1" t="s">
        <v>116</v>
      </c>
      <c r="C201" s="2" t="s">
        <v>115</v>
      </c>
    </row>
    <row r="202" spans="1:5" ht="12" x14ac:dyDescent="0.15">
      <c r="C202" s="2"/>
      <c r="D202" s="6" t="s">
        <v>285</v>
      </c>
      <c r="E202" s="3"/>
    </row>
    <row r="203" spans="1:5" ht="12" x14ac:dyDescent="0.15">
      <c r="C203" s="2"/>
      <c r="D203" s="6" t="s">
        <v>290</v>
      </c>
      <c r="E203" s="3"/>
    </row>
    <row r="204" spans="1:5" ht="12" x14ac:dyDescent="0.15">
      <c r="A204" s="1">
        <v>133</v>
      </c>
      <c r="C204" s="2" t="s">
        <v>18</v>
      </c>
    </row>
    <row r="205" spans="1:5" ht="12" x14ac:dyDescent="0.15">
      <c r="C205" s="2"/>
      <c r="D205" s="6" t="s">
        <v>290</v>
      </c>
      <c r="E205" s="3"/>
    </row>
    <row r="206" spans="1:5" ht="12" x14ac:dyDescent="0.15">
      <c r="A206" s="1">
        <v>134</v>
      </c>
      <c r="B206" s="1" t="s">
        <v>118</v>
      </c>
      <c r="C206" s="2" t="s">
        <v>458</v>
      </c>
    </row>
    <row r="207" spans="1:5" ht="12" x14ac:dyDescent="0.15">
      <c r="C207" s="2"/>
      <c r="D207" s="6" t="s">
        <v>285</v>
      </c>
      <c r="E207" s="3"/>
    </row>
    <row r="208" spans="1:5" ht="12" x14ac:dyDescent="0.15">
      <c r="C208" s="2"/>
      <c r="D208" s="6" t="s">
        <v>290</v>
      </c>
      <c r="E208" s="3"/>
    </row>
    <row r="209" spans="1:5" ht="12" x14ac:dyDescent="0.15">
      <c r="A209" s="1">
        <v>135</v>
      </c>
      <c r="B209" s="1" t="s">
        <v>120</v>
      </c>
      <c r="C209" s="2" t="s">
        <v>119</v>
      </c>
    </row>
    <row r="210" spans="1:5" ht="12" x14ac:dyDescent="0.15">
      <c r="C210" s="2"/>
      <c r="D210" s="6" t="s">
        <v>285</v>
      </c>
      <c r="E210" s="3"/>
    </row>
    <row r="211" spans="1:5" ht="12" x14ac:dyDescent="0.15">
      <c r="C211" s="2"/>
      <c r="D211" s="6" t="s">
        <v>290</v>
      </c>
      <c r="E211" s="3"/>
    </row>
    <row r="212" spans="1:5" ht="12" x14ac:dyDescent="0.15">
      <c r="A212" s="1">
        <v>136</v>
      </c>
      <c r="B212" s="1" t="s">
        <v>122</v>
      </c>
      <c r="C212" s="2" t="s">
        <v>121</v>
      </c>
    </row>
    <row r="213" spans="1:5" ht="12" x14ac:dyDescent="0.15">
      <c r="C213" s="2"/>
      <c r="D213" s="6" t="s">
        <v>285</v>
      </c>
      <c r="E213" s="3"/>
    </row>
    <row r="214" spans="1:5" ht="12" x14ac:dyDescent="0.15">
      <c r="C214" s="2"/>
      <c r="D214" s="6" t="s">
        <v>290</v>
      </c>
      <c r="E214" s="3"/>
    </row>
    <row r="215" spans="1:5" ht="12" x14ac:dyDescent="0.15">
      <c r="A215" s="1">
        <v>137</v>
      </c>
      <c r="B215" s="1" t="s">
        <v>127</v>
      </c>
      <c r="C215" s="2" t="s">
        <v>241</v>
      </c>
    </row>
    <row r="216" spans="1:5" ht="12" x14ac:dyDescent="0.15">
      <c r="A216" s="1">
        <v>138</v>
      </c>
      <c r="C216" s="2"/>
      <c r="D216" s="1" t="s">
        <v>242</v>
      </c>
    </row>
    <row r="217" spans="1:5" ht="12" x14ac:dyDescent="0.15">
      <c r="A217" s="1">
        <v>139</v>
      </c>
      <c r="C217" s="2"/>
      <c r="D217" s="1" t="s">
        <v>265</v>
      </c>
    </row>
    <row r="218" spans="1:5" ht="12" x14ac:dyDescent="0.15">
      <c r="A218" s="1">
        <v>140</v>
      </c>
      <c r="B218" s="1" t="s">
        <v>128</v>
      </c>
      <c r="C218" s="2" t="s">
        <v>243</v>
      </c>
    </row>
    <row r="219" spans="1:5" ht="12" x14ac:dyDescent="0.15">
      <c r="A219" s="1">
        <v>141</v>
      </c>
      <c r="C219" s="2"/>
      <c r="D219" s="1" t="s">
        <v>242</v>
      </c>
    </row>
    <row r="220" spans="1:5" ht="12" x14ac:dyDescent="0.15">
      <c r="A220" s="1">
        <v>142</v>
      </c>
      <c r="C220" s="2"/>
      <c r="D220" s="1" t="s">
        <v>265</v>
      </c>
    </row>
    <row r="221" spans="1:5" ht="12" x14ac:dyDescent="0.15">
      <c r="A221" s="1">
        <v>143</v>
      </c>
      <c r="B221" s="1" t="s">
        <v>129</v>
      </c>
      <c r="C221" s="2" t="s">
        <v>245</v>
      </c>
    </row>
    <row r="222" spans="1:5" ht="12" x14ac:dyDescent="0.15">
      <c r="A222" s="1">
        <v>144</v>
      </c>
      <c r="C222" s="2"/>
      <c r="D222" s="1" t="s">
        <v>242</v>
      </c>
    </row>
    <row r="223" spans="1:5" ht="12" x14ac:dyDescent="0.15">
      <c r="A223" s="1">
        <v>145</v>
      </c>
      <c r="C223" s="2"/>
      <c r="D223" s="1" t="s">
        <v>265</v>
      </c>
    </row>
    <row r="224" spans="1:5" ht="12" x14ac:dyDescent="0.15">
      <c r="A224" s="1">
        <v>146</v>
      </c>
      <c r="B224" s="1" t="s">
        <v>130</v>
      </c>
      <c r="C224" s="2" t="s">
        <v>247</v>
      </c>
    </row>
    <row r="225" spans="1:4" ht="12" x14ac:dyDescent="0.15">
      <c r="A225" s="1">
        <v>147</v>
      </c>
      <c r="C225" s="2"/>
      <c r="D225" s="1" t="s">
        <v>242</v>
      </c>
    </row>
    <row r="226" spans="1:4" ht="12" x14ac:dyDescent="0.15">
      <c r="A226" s="1">
        <v>148</v>
      </c>
      <c r="C226" s="2"/>
      <c r="D226" s="1" t="s">
        <v>265</v>
      </c>
    </row>
    <row r="227" spans="1:4" ht="12" x14ac:dyDescent="0.15">
      <c r="A227" s="1">
        <v>149</v>
      </c>
      <c r="C227" s="2" t="s">
        <v>249</v>
      </c>
    </row>
    <row r="228" spans="1:4" ht="12" x14ac:dyDescent="0.15">
      <c r="A228" s="1">
        <v>150</v>
      </c>
      <c r="C228" s="2"/>
      <c r="D228" s="1" t="s">
        <v>242</v>
      </c>
    </row>
    <row r="229" spans="1:4" ht="12" x14ac:dyDescent="0.15">
      <c r="A229" s="1">
        <v>151</v>
      </c>
      <c r="C229" s="2"/>
      <c r="D229" s="1" t="s">
        <v>265</v>
      </c>
    </row>
    <row r="230" spans="1:4" ht="36" x14ac:dyDescent="0.15">
      <c r="A230" s="1">
        <v>152</v>
      </c>
      <c r="B230" s="1" t="s">
        <v>136</v>
      </c>
      <c r="C230" s="2" t="s">
        <v>441</v>
      </c>
    </row>
    <row r="231" spans="1:4" ht="12" x14ac:dyDescent="0.15">
      <c r="A231" s="1">
        <v>153</v>
      </c>
      <c r="C231" s="2"/>
      <c r="D231" s="1" t="s">
        <v>242</v>
      </c>
    </row>
    <row r="232" spans="1:4" ht="12" x14ac:dyDescent="0.15">
      <c r="A232" s="1">
        <v>154</v>
      </c>
      <c r="C232" s="2"/>
      <c r="D232" s="1" t="s">
        <v>265</v>
      </c>
    </row>
    <row r="233" spans="1:4" ht="12" x14ac:dyDescent="0.15">
      <c r="A233" s="1">
        <v>155</v>
      </c>
      <c r="B233" s="1" t="s">
        <v>132</v>
      </c>
      <c r="C233" s="2" t="s">
        <v>442</v>
      </c>
    </row>
    <row r="234" spans="1:4" ht="12" x14ac:dyDescent="0.15">
      <c r="A234" s="1">
        <v>156</v>
      </c>
      <c r="C234" s="2"/>
      <c r="D234" s="1" t="s">
        <v>242</v>
      </c>
    </row>
    <row r="235" spans="1:4" ht="12" x14ac:dyDescent="0.15">
      <c r="A235" s="1">
        <v>157</v>
      </c>
      <c r="C235" s="2"/>
      <c r="D235" s="1" t="s">
        <v>265</v>
      </c>
    </row>
    <row r="236" spans="1:4" ht="12" x14ac:dyDescent="0.15">
      <c r="A236" s="1">
        <v>158</v>
      </c>
      <c r="B236" s="1" t="s">
        <v>135</v>
      </c>
      <c r="C236" s="2" t="s">
        <v>443</v>
      </c>
    </row>
    <row r="237" spans="1:4" ht="12" x14ac:dyDescent="0.15">
      <c r="A237" s="1">
        <v>159</v>
      </c>
      <c r="C237" s="2"/>
      <c r="D237" s="1" t="s">
        <v>242</v>
      </c>
    </row>
    <row r="238" spans="1:4" ht="12" x14ac:dyDescent="0.15">
      <c r="A238" s="1">
        <v>160</v>
      </c>
      <c r="C238" s="2"/>
      <c r="D238" s="1" t="s">
        <v>265</v>
      </c>
    </row>
    <row r="239" spans="1:4" ht="12" x14ac:dyDescent="0.15">
      <c r="A239" s="1">
        <v>161</v>
      </c>
      <c r="B239" s="1" t="s">
        <v>263</v>
      </c>
      <c r="C239" s="2" t="s">
        <v>444</v>
      </c>
    </row>
    <row r="240" spans="1:4" ht="12" x14ac:dyDescent="0.15">
      <c r="A240" s="1">
        <v>162</v>
      </c>
      <c r="C240" s="2"/>
      <c r="D240" s="1" t="s">
        <v>242</v>
      </c>
    </row>
    <row r="241" spans="1:4" ht="12" x14ac:dyDescent="0.15">
      <c r="A241" s="1">
        <v>163</v>
      </c>
      <c r="C241" s="2"/>
      <c r="D241" s="1" t="s">
        <v>265</v>
      </c>
    </row>
    <row r="242" spans="1:4" ht="36" x14ac:dyDescent="0.15">
      <c r="A242" s="1">
        <v>164</v>
      </c>
      <c r="B242" s="1" t="s">
        <v>136</v>
      </c>
      <c r="C242" s="1" t="s">
        <v>440</v>
      </c>
      <c r="D242" s="2"/>
    </row>
    <row r="243" spans="1:4" ht="12" x14ac:dyDescent="0.15">
      <c r="A243" s="1">
        <v>165</v>
      </c>
      <c r="D243" s="2" t="s">
        <v>246</v>
      </c>
    </row>
    <row r="244" spans="1:4" ht="12" x14ac:dyDescent="0.15">
      <c r="A244" s="1">
        <v>166</v>
      </c>
      <c r="D244" s="2" t="s">
        <v>255</v>
      </c>
    </row>
    <row r="245" spans="1:4" ht="12" x14ac:dyDescent="0.15">
      <c r="A245" s="1">
        <v>167</v>
      </c>
      <c r="D245" s="2" t="s">
        <v>257</v>
      </c>
    </row>
    <row r="246" spans="1:4" s="4" customFormat="1" ht="12" x14ac:dyDescent="0.15">
      <c r="A246" s="1">
        <v>170</v>
      </c>
      <c r="B246" s="4" t="s">
        <v>134</v>
      </c>
      <c r="D246" s="5" t="s">
        <v>133</v>
      </c>
    </row>
    <row r="247" spans="1:4" ht="12" x14ac:dyDescent="0.15">
      <c r="A247" s="1">
        <v>171</v>
      </c>
      <c r="B247" s="1" t="s">
        <v>135</v>
      </c>
      <c r="C247" s="1" t="s">
        <v>259</v>
      </c>
      <c r="D247" s="2"/>
    </row>
    <row r="248" spans="1:4" ht="12" x14ac:dyDescent="0.15">
      <c r="A248" s="1">
        <v>172</v>
      </c>
      <c r="D248" s="2" t="s">
        <v>246</v>
      </c>
    </row>
    <row r="249" spans="1:4" ht="12" x14ac:dyDescent="0.15">
      <c r="A249" s="1">
        <v>173</v>
      </c>
      <c r="D249" s="2" t="s">
        <v>260</v>
      </c>
    </row>
    <row r="250" spans="1:4" ht="24" x14ac:dyDescent="0.15">
      <c r="A250" s="1">
        <v>174</v>
      </c>
      <c r="B250" s="1" t="s">
        <v>271</v>
      </c>
      <c r="C250" s="1" t="s">
        <v>461</v>
      </c>
    </row>
    <row r="251" spans="1:4" ht="12" x14ac:dyDescent="0.15">
      <c r="A251" s="1">
        <v>175</v>
      </c>
      <c r="D251" s="1" t="s">
        <v>242</v>
      </c>
    </row>
    <row r="252" spans="1:4" ht="12" x14ac:dyDescent="0.15">
      <c r="A252" s="1">
        <v>176</v>
      </c>
      <c r="D252" s="1" t="s">
        <v>265</v>
      </c>
    </row>
    <row r="253" spans="1:4" ht="12" x14ac:dyDescent="0.15">
      <c r="A253" s="1">
        <v>177</v>
      </c>
      <c r="B253" s="1" t="s">
        <v>267</v>
      </c>
      <c r="C253" s="1" t="s">
        <v>266</v>
      </c>
    </row>
    <row r="254" spans="1:4" ht="12" x14ac:dyDescent="0.15">
      <c r="A254" s="1">
        <v>178</v>
      </c>
      <c r="D254" s="1" t="s">
        <v>242</v>
      </c>
    </row>
    <row r="255" spans="1:4" ht="12" x14ac:dyDescent="0.15">
      <c r="A255" s="1">
        <v>179</v>
      </c>
      <c r="D255" s="1" t="s">
        <v>265</v>
      </c>
    </row>
    <row r="256" spans="1:4" ht="12" x14ac:dyDescent="0.15">
      <c r="A256" s="1">
        <v>180</v>
      </c>
      <c r="D256" s="1" t="s">
        <v>462</v>
      </c>
    </row>
    <row r="257" spans="1:4" ht="12" x14ac:dyDescent="0.15">
      <c r="A257" s="1">
        <v>181</v>
      </c>
      <c r="C257" s="1" t="s">
        <v>268</v>
      </c>
    </row>
    <row r="258" spans="1:4" ht="12" x14ac:dyDescent="0.15">
      <c r="A258" s="1">
        <v>182</v>
      </c>
      <c r="D258" s="1" t="s">
        <v>269</v>
      </c>
    </row>
    <row r="259" spans="1:4" ht="12" x14ac:dyDescent="0.15">
      <c r="A259" s="1">
        <v>183</v>
      </c>
      <c r="D259" s="1" t="s">
        <v>246</v>
      </c>
    </row>
    <row r="260" spans="1:4" ht="12" x14ac:dyDescent="0.15">
      <c r="A260" s="1">
        <v>184</v>
      </c>
      <c r="D260" s="1" t="s">
        <v>270</v>
      </c>
    </row>
    <row r="261" spans="1:4" ht="12" x14ac:dyDescent="0.15">
      <c r="A261" s="1">
        <v>185</v>
      </c>
      <c r="B261" s="1" t="s">
        <v>124</v>
      </c>
      <c r="C261" s="2" t="s">
        <v>123</v>
      </c>
    </row>
    <row r="262" spans="1:4" ht="12" x14ac:dyDescent="0.15">
      <c r="A262" s="1">
        <v>186</v>
      </c>
      <c r="C262" s="2"/>
      <c r="D262" s="1" t="s">
        <v>238</v>
      </c>
    </row>
    <row r="263" spans="1:4" ht="12" x14ac:dyDescent="0.15">
      <c r="A263" s="1">
        <v>187</v>
      </c>
      <c r="B263" s="1" t="s">
        <v>126</v>
      </c>
      <c r="D263" s="2" t="s">
        <v>239</v>
      </c>
    </row>
    <row r="264" spans="1:4" ht="12" x14ac:dyDescent="0.15">
      <c r="A264" s="1">
        <v>188</v>
      </c>
      <c r="B264" s="1" t="s">
        <v>127</v>
      </c>
      <c r="D264" s="2" t="s">
        <v>240</v>
      </c>
    </row>
    <row r="265" spans="1:4" ht="12" x14ac:dyDescent="0.15">
      <c r="A265" s="1">
        <v>189</v>
      </c>
      <c r="B265" s="1" t="s">
        <v>128</v>
      </c>
      <c r="D265" s="2" t="s">
        <v>244</v>
      </c>
    </row>
    <row r="266" spans="1:4" ht="12" x14ac:dyDescent="0.15">
      <c r="A266" s="1">
        <v>190</v>
      </c>
      <c r="B266" s="1" t="s">
        <v>129</v>
      </c>
      <c r="D266" s="2" t="s">
        <v>251</v>
      </c>
    </row>
    <row r="267" spans="1:4" ht="12" x14ac:dyDescent="0.15">
      <c r="A267" s="1">
        <v>191</v>
      </c>
      <c r="B267" s="1" t="s">
        <v>130</v>
      </c>
      <c r="D267" s="2" t="s">
        <v>248</v>
      </c>
    </row>
    <row r="268" spans="1:4" ht="24" x14ac:dyDescent="0.15">
      <c r="A268" s="1">
        <v>192</v>
      </c>
      <c r="B268" s="1" t="s">
        <v>131</v>
      </c>
      <c r="D268" s="2" t="s">
        <v>250</v>
      </c>
    </row>
    <row r="269" spans="1:4" ht="12" x14ac:dyDescent="0.15">
      <c r="A269" s="1">
        <v>193</v>
      </c>
      <c r="B269" s="1" t="s">
        <v>263</v>
      </c>
      <c r="D269" s="2" t="s">
        <v>262</v>
      </c>
    </row>
    <row r="270" spans="1:4" ht="12" x14ac:dyDescent="0.15">
      <c r="A270" s="1">
        <v>194</v>
      </c>
      <c r="B270" s="1" t="s">
        <v>263</v>
      </c>
      <c r="D270" s="2" t="s">
        <v>262</v>
      </c>
    </row>
    <row r="271" spans="1:4" ht="12" x14ac:dyDescent="0.15">
      <c r="A271" s="1">
        <v>195</v>
      </c>
      <c r="B271" s="1" t="s">
        <v>138</v>
      </c>
      <c r="D271" s="2" t="s">
        <v>137</v>
      </c>
    </row>
    <row r="272" spans="1:4" ht="12" x14ac:dyDescent="0.15">
      <c r="A272" s="1">
        <v>196</v>
      </c>
      <c r="B272" s="1" t="s">
        <v>140</v>
      </c>
      <c r="D272" s="2" t="s">
        <v>139</v>
      </c>
    </row>
    <row r="273" spans="1:5" ht="12" x14ac:dyDescent="0.15">
      <c r="A273" s="1">
        <v>197</v>
      </c>
      <c r="B273" s="1" t="s">
        <v>142</v>
      </c>
      <c r="D273" s="2" t="s">
        <v>141</v>
      </c>
    </row>
    <row r="274" spans="1:5" ht="12" x14ac:dyDescent="0.15">
      <c r="A274" s="1">
        <v>198</v>
      </c>
      <c r="B274" s="1" t="s">
        <v>144</v>
      </c>
      <c r="D274" s="2" t="s">
        <v>143</v>
      </c>
    </row>
    <row r="275" spans="1:5" ht="12" x14ac:dyDescent="0.15">
      <c r="A275" s="1">
        <v>199</v>
      </c>
      <c r="B275" s="1" t="s">
        <v>146</v>
      </c>
      <c r="C275" s="2" t="s">
        <v>145</v>
      </c>
    </row>
    <row r="276" spans="1:5" ht="12" x14ac:dyDescent="0.15">
      <c r="C276" s="2"/>
      <c r="D276" s="6" t="s">
        <v>290</v>
      </c>
      <c r="E276" s="3"/>
    </row>
    <row r="277" spans="1:5" ht="24" x14ac:dyDescent="0.15">
      <c r="A277" s="1">
        <v>200</v>
      </c>
      <c r="B277" s="1" t="s">
        <v>148</v>
      </c>
      <c r="C277" s="2" t="s">
        <v>453</v>
      </c>
      <c r="E277" s="3"/>
    </row>
    <row r="278" spans="1:5" ht="12" x14ac:dyDescent="0.15">
      <c r="C278" s="2"/>
      <c r="D278" s="6" t="s">
        <v>285</v>
      </c>
      <c r="E278" s="3"/>
    </row>
    <row r="279" spans="1:5" ht="12" x14ac:dyDescent="0.15">
      <c r="C279" s="2"/>
      <c r="D279" s="6" t="s">
        <v>290</v>
      </c>
      <c r="E279" s="3"/>
    </row>
    <row r="280" spans="1:5" ht="12" x14ac:dyDescent="0.15">
      <c r="A280" s="1">
        <v>201</v>
      </c>
      <c r="C280" s="2" t="s">
        <v>19</v>
      </c>
    </row>
    <row r="281" spans="1:5" ht="12" x14ac:dyDescent="0.15">
      <c r="C281" s="2"/>
      <c r="D281" s="6" t="s">
        <v>285</v>
      </c>
      <c r="E281" s="3"/>
    </row>
    <row r="282" spans="1:5" ht="12" x14ac:dyDescent="0.15">
      <c r="C282" s="2"/>
      <c r="D282" s="6" t="s">
        <v>290</v>
      </c>
      <c r="E282" s="3"/>
    </row>
    <row r="283" spans="1:5" ht="12" x14ac:dyDescent="0.15">
      <c r="A283" s="1">
        <v>202</v>
      </c>
      <c r="C283" s="2" t="s">
        <v>463</v>
      </c>
    </row>
    <row r="284" spans="1:5" ht="12" x14ac:dyDescent="0.15">
      <c r="A284" s="1">
        <v>203</v>
      </c>
      <c r="C284" s="2" t="s">
        <v>20</v>
      </c>
      <c r="E284" s="3"/>
    </row>
    <row r="285" spans="1:5" ht="12" x14ac:dyDescent="0.15">
      <c r="A285" s="1">
        <v>204</v>
      </c>
      <c r="C285" s="2" t="s">
        <v>21</v>
      </c>
    </row>
    <row r="286" spans="1:5" ht="12" x14ac:dyDescent="0.15">
      <c r="A286" s="1">
        <v>205</v>
      </c>
      <c r="C286" s="2" t="s">
        <v>22</v>
      </c>
    </row>
    <row r="287" spans="1:5" ht="12" x14ac:dyDescent="0.15">
      <c r="A287" s="1">
        <v>206</v>
      </c>
      <c r="C287" s="2" t="s">
        <v>23</v>
      </c>
      <c r="E287" s="3"/>
    </row>
    <row r="288" spans="1:5" ht="12" x14ac:dyDescent="0.15">
      <c r="A288" s="1">
        <v>207</v>
      </c>
      <c r="C288" s="2" t="s">
        <v>24</v>
      </c>
    </row>
    <row r="289" spans="1:5" ht="12" x14ac:dyDescent="0.15">
      <c r="A289" s="1">
        <v>208</v>
      </c>
      <c r="C289" s="2" t="s">
        <v>25</v>
      </c>
    </row>
    <row r="290" spans="1:5" ht="12" x14ac:dyDescent="0.15">
      <c r="A290" s="1">
        <v>209</v>
      </c>
      <c r="C290" s="2" t="s">
        <v>26</v>
      </c>
      <c r="E290" s="3"/>
    </row>
    <row r="291" spans="1:5" ht="12" x14ac:dyDescent="0.15">
      <c r="A291" s="1">
        <v>210</v>
      </c>
      <c r="C291" s="2" t="s">
        <v>27</v>
      </c>
    </row>
    <row r="292" spans="1:5" ht="12" x14ac:dyDescent="0.15">
      <c r="A292" s="1">
        <v>211</v>
      </c>
      <c r="C292" s="2" t="s">
        <v>28</v>
      </c>
    </row>
    <row r="293" spans="1:5" ht="12" x14ac:dyDescent="0.15">
      <c r="A293" s="1">
        <v>212</v>
      </c>
      <c r="C293" s="2" t="s">
        <v>29</v>
      </c>
      <c r="E293" s="3"/>
    </row>
    <row r="294" spans="1:5" ht="12" x14ac:dyDescent="0.15">
      <c r="A294" s="1">
        <v>213</v>
      </c>
      <c r="C294" s="2" t="s">
        <v>30</v>
      </c>
    </row>
    <row r="295" spans="1:5" ht="12" x14ac:dyDescent="0.15">
      <c r="A295" s="1">
        <v>214</v>
      </c>
      <c r="C295" s="2" t="s">
        <v>31</v>
      </c>
    </row>
    <row r="296" spans="1:5" ht="12" x14ac:dyDescent="0.15">
      <c r="A296" s="1">
        <v>215</v>
      </c>
      <c r="C296" s="2" t="s">
        <v>32</v>
      </c>
      <c r="E296" s="3"/>
    </row>
    <row r="297" spans="1:5" ht="12" x14ac:dyDescent="0.15">
      <c r="A297" s="1">
        <v>216</v>
      </c>
      <c r="C297" s="2" t="s">
        <v>33</v>
      </c>
    </row>
    <row r="298" spans="1:5" ht="12" x14ac:dyDescent="0.15">
      <c r="A298" s="1">
        <v>217</v>
      </c>
      <c r="C298" s="2" t="s">
        <v>34</v>
      </c>
    </row>
    <row r="299" spans="1:5" ht="12" x14ac:dyDescent="0.15">
      <c r="A299" s="1">
        <v>218</v>
      </c>
      <c r="C299" s="2" t="s">
        <v>35</v>
      </c>
      <c r="E299" s="3"/>
    </row>
    <row r="300" spans="1:5" ht="12" x14ac:dyDescent="0.15">
      <c r="A300" s="1">
        <v>219</v>
      </c>
      <c r="C300" s="2" t="s">
        <v>36</v>
      </c>
    </row>
    <row r="301" spans="1:5" ht="12" x14ac:dyDescent="0.15">
      <c r="A301" s="1">
        <v>220</v>
      </c>
      <c r="C301" s="2" t="s">
        <v>37</v>
      </c>
    </row>
    <row r="302" spans="1:5" ht="12" x14ac:dyDescent="0.15">
      <c r="A302" s="1">
        <v>221</v>
      </c>
      <c r="C302" s="2" t="s">
        <v>38</v>
      </c>
      <c r="E302" s="3"/>
    </row>
    <row r="303" spans="1:5" ht="12" x14ac:dyDescent="0.15">
      <c r="A303" s="1">
        <v>222</v>
      </c>
      <c r="C303" s="2" t="s">
        <v>39</v>
      </c>
    </row>
    <row r="304" spans="1:5" ht="12" x14ac:dyDescent="0.15">
      <c r="A304" s="1">
        <v>223</v>
      </c>
      <c r="C304" s="2" t="s">
        <v>40</v>
      </c>
    </row>
    <row r="305" spans="1:5" ht="12" x14ac:dyDescent="0.15">
      <c r="A305" s="1">
        <v>224</v>
      </c>
      <c r="C305" s="2" t="s">
        <v>41</v>
      </c>
      <c r="E305" s="3"/>
    </row>
    <row r="306" spans="1:5" ht="12" x14ac:dyDescent="0.15">
      <c r="A306" s="1">
        <v>225</v>
      </c>
      <c r="C306" s="2" t="s">
        <v>42</v>
      </c>
    </row>
    <row r="307" spans="1:5" ht="12" x14ac:dyDescent="0.15">
      <c r="A307" s="1">
        <v>226</v>
      </c>
      <c r="B307" s="1" t="s">
        <v>150</v>
      </c>
      <c r="C307" s="2" t="s">
        <v>454</v>
      </c>
    </row>
    <row r="308" spans="1:5" ht="12" x14ac:dyDescent="0.15">
      <c r="A308" s="1">
        <v>227</v>
      </c>
      <c r="C308" s="2" t="s">
        <v>43</v>
      </c>
      <c r="E308" s="3"/>
    </row>
    <row r="309" spans="1:5" ht="12" x14ac:dyDescent="0.15">
      <c r="A309" s="1">
        <v>228</v>
      </c>
      <c r="C309" s="2" t="s">
        <v>44</v>
      </c>
    </row>
    <row r="310" spans="1:5" ht="12" x14ac:dyDescent="0.15">
      <c r="A310" s="1">
        <v>229</v>
      </c>
      <c r="C310" s="2" t="s">
        <v>45</v>
      </c>
    </row>
    <row r="311" spans="1:5" ht="12" x14ac:dyDescent="0.15">
      <c r="A311" s="1">
        <v>230</v>
      </c>
      <c r="C311" s="2" t="s">
        <v>46</v>
      </c>
      <c r="E311" s="3"/>
    </row>
    <row r="312" spans="1:5" ht="12" x14ac:dyDescent="0.15">
      <c r="A312" s="1">
        <v>231</v>
      </c>
      <c r="C312" s="2" t="s">
        <v>47</v>
      </c>
    </row>
    <row r="313" spans="1:5" ht="12" x14ac:dyDescent="0.15">
      <c r="A313" s="1">
        <v>232</v>
      </c>
      <c r="C313" s="2" t="s">
        <v>48</v>
      </c>
    </row>
    <row r="314" spans="1:5" ht="12" x14ac:dyDescent="0.15">
      <c r="A314" s="1">
        <v>233</v>
      </c>
      <c r="C314" s="2" t="s">
        <v>49</v>
      </c>
      <c r="E314" s="3"/>
    </row>
    <row r="315" spans="1:5" ht="12" x14ac:dyDescent="0.15">
      <c r="A315" s="1">
        <v>234</v>
      </c>
      <c r="C315" s="2" t="s">
        <v>50</v>
      </c>
    </row>
    <row r="316" spans="1:5" ht="12" x14ac:dyDescent="0.15">
      <c r="A316" s="1">
        <v>235</v>
      </c>
      <c r="C316" s="2" t="s">
        <v>51</v>
      </c>
    </row>
    <row r="317" spans="1:5" ht="12" x14ac:dyDescent="0.15">
      <c r="A317" s="1">
        <v>236</v>
      </c>
      <c r="C317" s="2" t="s">
        <v>52</v>
      </c>
      <c r="E317" s="3"/>
    </row>
    <row r="318" spans="1:5" ht="12" x14ac:dyDescent="0.15">
      <c r="A318" s="1">
        <v>237</v>
      </c>
      <c r="C318" s="2" t="s">
        <v>53</v>
      </c>
    </row>
    <row r="319" spans="1:5" ht="12" x14ac:dyDescent="0.15">
      <c r="A319" s="1">
        <v>238</v>
      </c>
      <c r="C319" s="2" t="s">
        <v>54</v>
      </c>
    </row>
    <row r="320" spans="1:5" ht="12" x14ac:dyDescent="0.15">
      <c r="A320" s="1">
        <v>239</v>
      </c>
      <c r="C320" s="2" t="s">
        <v>55</v>
      </c>
      <c r="E320" s="3"/>
    </row>
    <row r="321" spans="1:5" ht="12" x14ac:dyDescent="0.15">
      <c r="A321" s="1">
        <v>240</v>
      </c>
      <c r="C321" s="2" t="s">
        <v>56</v>
      </c>
    </row>
    <row r="322" spans="1:5" ht="12" x14ac:dyDescent="0.15">
      <c r="A322" s="1">
        <v>241</v>
      </c>
      <c r="B322" s="1" t="s">
        <v>152</v>
      </c>
      <c r="C322" s="2" t="s">
        <v>151</v>
      </c>
    </row>
    <row r="323" spans="1:5" ht="12" x14ac:dyDescent="0.15">
      <c r="A323" s="1">
        <v>242</v>
      </c>
      <c r="C323" s="2" t="s">
        <v>57</v>
      </c>
      <c r="E323" s="3"/>
    </row>
    <row r="324" spans="1:5" ht="12" x14ac:dyDescent="0.15">
      <c r="A324" s="1">
        <v>243</v>
      </c>
      <c r="C324" s="2" t="s">
        <v>58</v>
      </c>
    </row>
    <row r="325" spans="1:5" ht="12" x14ac:dyDescent="0.15">
      <c r="A325" s="1">
        <v>244</v>
      </c>
      <c r="C325" s="2" t="s">
        <v>59</v>
      </c>
    </row>
    <row r="326" spans="1:5" ht="12" x14ac:dyDescent="0.15">
      <c r="A326" s="1">
        <v>245</v>
      </c>
      <c r="C326" s="2" t="s">
        <v>60</v>
      </c>
      <c r="E326" s="3"/>
    </row>
    <row r="327" spans="1:5" ht="12" x14ac:dyDescent="0.15">
      <c r="A327" s="1">
        <v>246</v>
      </c>
      <c r="C327" s="2" t="s">
        <v>61</v>
      </c>
    </row>
    <row r="328" spans="1:5" ht="12" x14ac:dyDescent="0.15">
      <c r="A328" s="1">
        <v>247</v>
      </c>
      <c r="B328" s="1" t="s">
        <v>154</v>
      </c>
      <c r="C328" s="2" t="s">
        <v>153</v>
      </c>
    </row>
    <row r="329" spans="1:5" ht="12" x14ac:dyDescent="0.15">
      <c r="A329" s="1">
        <v>248</v>
      </c>
      <c r="C329" s="2" t="s">
        <v>62</v>
      </c>
      <c r="E329" s="3"/>
    </row>
    <row r="330" spans="1:5" ht="12" x14ac:dyDescent="0.15">
      <c r="A330" s="1">
        <v>249</v>
      </c>
      <c r="C330" s="2" t="s">
        <v>63</v>
      </c>
    </row>
    <row r="331" spans="1:5" ht="12" x14ac:dyDescent="0.15">
      <c r="A331" s="1">
        <v>250</v>
      </c>
      <c r="B331" s="1" t="s">
        <v>155</v>
      </c>
      <c r="C331" s="2" t="s">
        <v>151</v>
      </c>
    </row>
    <row r="332" spans="1:5" ht="12" x14ac:dyDescent="0.15">
      <c r="A332" s="1">
        <v>251</v>
      </c>
      <c r="B332" s="1" t="s">
        <v>157</v>
      </c>
      <c r="C332" s="2" t="s">
        <v>156</v>
      </c>
    </row>
    <row r="333" spans="1:5" ht="12" x14ac:dyDescent="0.15">
      <c r="A333" s="1">
        <v>252</v>
      </c>
      <c r="C333" s="2" t="s">
        <v>459</v>
      </c>
    </row>
    <row r="334" spans="1:5" ht="12" x14ac:dyDescent="0.15">
      <c r="A334" s="1">
        <v>253</v>
      </c>
      <c r="C334" s="2" t="s">
        <v>65</v>
      </c>
      <c r="E334" s="3"/>
    </row>
    <row r="335" spans="1:5" ht="12" x14ac:dyDescent="0.15">
      <c r="A335" s="1">
        <v>254</v>
      </c>
      <c r="C335" s="2" t="s">
        <v>66</v>
      </c>
    </row>
    <row r="336" spans="1:5" ht="12" x14ac:dyDescent="0.15">
      <c r="A336" s="1">
        <v>255</v>
      </c>
      <c r="C336" s="2" t="s">
        <v>67</v>
      </c>
    </row>
    <row r="337" spans="1:5" ht="12" x14ac:dyDescent="0.15">
      <c r="A337" s="1">
        <v>256</v>
      </c>
      <c r="C337" s="2" t="s">
        <v>68</v>
      </c>
      <c r="E337" s="3"/>
    </row>
    <row r="338" spans="1:5" ht="12" x14ac:dyDescent="0.15">
      <c r="A338" s="1">
        <v>257</v>
      </c>
      <c r="C338" s="2" t="s">
        <v>69</v>
      </c>
    </row>
    <row r="339" spans="1:5" ht="12" x14ac:dyDescent="0.15">
      <c r="A339" s="1">
        <v>258</v>
      </c>
      <c r="C339" s="2" t="s">
        <v>70</v>
      </c>
    </row>
    <row r="340" spans="1:5" ht="12" x14ac:dyDescent="0.15">
      <c r="A340" s="1">
        <v>259</v>
      </c>
      <c r="C340" s="2" t="s">
        <v>460</v>
      </c>
    </row>
    <row r="341" spans="1:5" ht="12" x14ac:dyDescent="0.15">
      <c r="A341" s="1">
        <v>260</v>
      </c>
      <c r="C341" s="2" t="s">
        <v>72</v>
      </c>
    </row>
    <row r="342" spans="1:5" ht="12" x14ac:dyDescent="0.15">
      <c r="A342" s="1">
        <v>261</v>
      </c>
      <c r="C342" s="2" t="s">
        <v>73</v>
      </c>
      <c r="E342" s="3"/>
    </row>
    <row r="343" spans="1:5" ht="12" x14ac:dyDescent="0.15">
      <c r="A343" s="1">
        <v>262</v>
      </c>
      <c r="C343" s="2" t="s">
        <v>455</v>
      </c>
    </row>
    <row r="344" spans="1:5" ht="12" x14ac:dyDescent="0.15">
      <c r="A344" s="1">
        <v>263</v>
      </c>
      <c r="C344" s="2" t="s">
        <v>158</v>
      </c>
    </row>
    <row r="345" spans="1:5" ht="12" x14ac:dyDescent="0.15">
      <c r="A345" s="1">
        <v>264</v>
      </c>
      <c r="C345" s="2" t="s">
        <v>159</v>
      </c>
      <c r="E345" s="3"/>
    </row>
    <row r="346" spans="1:5" ht="12" x14ac:dyDescent="0.15">
      <c r="A346" s="1">
        <v>265</v>
      </c>
      <c r="C346" s="2" t="s">
        <v>75</v>
      </c>
    </row>
    <row r="347" spans="1:5" ht="12" x14ac:dyDescent="0.15">
      <c r="A347" s="1">
        <v>266</v>
      </c>
      <c r="C347" s="2" t="s">
        <v>76</v>
      </c>
    </row>
    <row r="348" spans="1:5" ht="12" x14ac:dyDescent="0.15">
      <c r="A348" s="1">
        <v>267</v>
      </c>
      <c r="C348" s="2" t="s">
        <v>77</v>
      </c>
      <c r="E348" s="3"/>
    </row>
    <row r="349" spans="1:5" ht="12" x14ac:dyDescent="0.15">
      <c r="A349" s="1">
        <v>268</v>
      </c>
      <c r="C349" s="2" t="s">
        <v>78</v>
      </c>
    </row>
    <row r="350" spans="1:5" ht="12" x14ac:dyDescent="0.15">
      <c r="A350" s="1">
        <v>269</v>
      </c>
      <c r="C350" s="2" t="s">
        <v>456</v>
      </c>
    </row>
    <row r="351" spans="1:5" ht="12" x14ac:dyDescent="0.15">
      <c r="A351" s="1">
        <v>270</v>
      </c>
      <c r="C351" s="2" t="s">
        <v>80</v>
      </c>
      <c r="E351" s="3"/>
    </row>
    <row r="352" spans="1:5" x14ac:dyDescent="0.15">
      <c r="A352" s="1">
        <v>271</v>
      </c>
    </row>
    <row r="353" spans="1:5" x14ac:dyDescent="0.15">
      <c r="A353" s="1">
        <v>272</v>
      </c>
    </row>
    <row r="354" spans="1:5" x14ac:dyDescent="0.15">
      <c r="A354" s="1">
        <v>273</v>
      </c>
      <c r="E354" s="3"/>
    </row>
    <row r="355" spans="1:5" x14ac:dyDescent="0.15">
      <c r="A355" s="1">
        <v>274</v>
      </c>
    </row>
    <row r="356" spans="1:5" x14ac:dyDescent="0.15">
      <c r="A356" s="1">
        <v>275</v>
      </c>
    </row>
    <row r="357" spans="1:5" x14ac:dyDescent="0.15">
      <c r="A357" s="1">
        <v>276</v>
      </c>
      <c r="E357" s="3"/>
    </row>
    <row r="358" spans="1:5" x14ac:dyDescent="0.15">
      <c r="A358" s="1">
        <v>277</v>
      </c>
    </row>
    <row r="359" spans="1:5" x14ac:dyDescent="0.15">
      <c r="A359" s="1">
        <v>278</v>
      </c>
    </row>
    <row r="360" spans="1:5" x14ac:dyDescent="0.15">
      <c r="A360" s="1">
        <v>279</v>
      </c>
    </row>
    <row r="361" spans="1:5" x14ac:dyDescent="0.15">
      <c r="A361" s="1">
        <v>280</v>
      </c>
    </row>
    <row r="362" spans="1:5" x14ac:dyDescent="0.15">
      <c r="A362" s="1">
        <v>281</v>
      </c>
    </row>
    <row r="363" spans="1:5" x14ac:dyDescent="0.15">
      <c r="A363" s="1">
        <v>282</v>
      </c>
    </row>
    <row r="364" spans="1:5" x14ac:dyDescent="0.15">
      <c r="A364" s="1">
        <v>283</v>
      </c>
    </row>
    <row r="365" spans="1:5" x14ac:dyDescent="0.15">
      <c r="A365" s="1">
        <v>284</v>
      </c>
    </row>
    <row r="366" spans="1:5" x14ac:dyDescent="0.15">
      <c r="A366" s="1">
        <v>285</v>
      </c>
    </row>
    <row r="367" spans="1:5" x14ac:dyDescent="0.15">
      <c r="A367" s="1">
        <v>286</v>
      </c>
    </row>
    <row r="368" spans="1:5" x14ac:dyDescent="0.15">
      <c r="A368" s="1">
        <v>287</v>
      </c>
    </row>
    <row r="369" spans="1:1" x14ac:dyDescent="0.15">
      <c r="A369" s="1">
        <v>288</v>
      </c>
    </row>
    <row r="370" spans="1:1" x14ac:dyDescent="0.15">
      <c r="A370" s="1">
        <v>289</v>
      </c>
    </row>
    <row r="371" spans="1:1" x14ac:dyDescent="0.15">
      <c r="A371" s="1">
        <v>290</v>
      </c>
    </row>
    <row r="372" spans="1:1" x14ac:dyDescent="0.15">
      <c r="A372" s="1">
        <v>291</v>
      </c>
    </row>
    <row r="373" spans="1:1" x14ac:dyDescent="0.15">
      <c r="A373" s="1">
        <v>292</v>
      </c>
    </row>
    <row r="374" spans="1:1" x14ac:dyDescent="0.15">
      <c r="A374" s="1">
        <v>293</v>
      </c>
    </row>
    <row r="375" spans="1:1" x14ac:dyDescent="0.15">
      <c r="A375" s="1">
        <v>294</v>
      </c>
    </row>
    <row r="376" spans="1:1" x14ac:dyDescent="0.15">
      <c r="A376" s="1">
        <v>295</v>
      </c>
    </row>
    <row r="377" spans="1:1" x14ac:dyDescent="0.15">
      <c r="A377" s="1">
        <v>296</v>
      </c>
    </row>
    <row r="378" spans="1:1" x14ac:dyDescent="0.15">
      <c r="A378" s="1">
        <v>297</v>
      </c>
    </row>
    <row r="379" spans="1:1" x14ac:dyDescent="0.15">
      <c r="A379" s="1">
        <v>298</v>
      </c>
    </row>
    <row r="380" spans="1:1" x14ac:dyDescent="0.15">
      <c r="A380" s="1">
        <v>299</v>
      </c>
    </row>
    <row r="381" spans="1:1" x14ac:dyDescent="0.15">
      <c r="A381" s="1">
        <v>300</v>
      </c>
    </row>
    <row r="382" spans="1:1" x14ac:dyDescent="0.15">
      <c r="A382" s="1">
        <v>301</v>
      </c>
    </row>
    <row r="383" spans="1:1" x14ac:dyDescent="0.15">
      <c r="A383" s="1">
        <v>302</v>
      </c>
    </row>
    <row r="384" spans="1:1" x14ac:dyDescent="0.15">
      <c r="A384" s="1">
        <v>303</v>
      </c>
    </row>
    <row r="385" spans="1:1" x14ac:dyDescent="0.15">
      <c r="A385" s="1">
        <v>304</v>
      </c>
    </row>
    <row r="386" spans="1:1" x14ac:dyDescent="0.15">
      <c r="A386" s="1">
        <v>305</v>
      </c>
    </row>
    <row r="387" spans="1:1" x14ac:dyDescent="0.15">
      <c r="A387" s="1">
        <v>306</v>
      </c>
    </row>
    <row r="388" spans="1:1" x14ac:dyDescent="0.15">
      <c r="A388" s="1">
        <v>307</v>
      </c>
    </row>
    <row r="389" spans="1:1" x14ac:dyDescent="0.15">
      <c r="A389" s="1">
        <v>308</v>
      </c>
    </row>
    <row r="390" spans="1:1" x14ac:dyDescent="0.15">
      <c r="A390" s="1">
        <v>309</v>
      </c>
    </row>
    <row r="391" spans="1:1" x14ac:dyDescent="0.15">
      <c r="A391" s="1">
        <v>310</v>
      </c>
    </row>
    <row r="392" spans="1:1" x14ac:dyDescent="0.15">
      <c r="A392" s="1">
        <v>311</v>
      </c>
    </row>
    <row r="393" spans="1:1" x14ac:dyDescent="0.15">
      <c r="A393" s="1">
        <v>312</v>
      </c>
    </row>
    <row r="394" spans="1:1" x14ac:dyDescent="0.15">
      <c r="A394" s="1">
        <v>313</v>
      </c>
    </row>
    <row r="395" spans="1:1" x14ac:dyDescent="0.15">
      <c r="A395" s="1">
        <v>314</v>
      </c>
    </row>
    <row r="396" spans="1:1" x14ac:dyDescent="0.15">
      <c r="A396" s="1">
        <v>315</v>
      </c>
    </row>
    <row r="397" spans="1:1" x14ac:dyDescent="0.15">
      <c r="A397" s="1">
        <v>316</v>
      </c>
    </row>
    <row r="398" spans="1:1" x14ac:dyDescent="0.15">
      <c r="A398" s="1">
        <v>317</v>
      </c>
    </row>
    <row r="399" spans="1:1" x14ac:dyDescent="0.15">
      <c r="A399" s="1">
        <v>318</v>
      </c>
    </row>
    <row r="400" spans="1:1" x14ac:dyDescent="0.15">
      <c r="A400" s="1">
        <v>319</v>
      </c>
    </row>
    <row r="401" spans="1:1" x14ac:dyDescent="0.15">
      <c r="A401" s="1">
        <v>320</v>
      </c>
    </row>
    <row r="402" spans="1:1" x14ac:dyDescent="0.15">
      <c r="A402" s="1">
        <v>321</v>
      </c>
    </row>
    <row r="403" spans="1:1" x14ac:dyDescent="0.15">
      <c r="A403" s="1">
        <v>322</v>
      </c>
    </row>
    <row r="404" spans="1:1" x14ac:dyDescent="0.15">
      <c r="A404" s="1">
        <v>323</v>
      </c>
    </row>
    <row r="405" spans="1:1" x14ac:dyDescent="0.15">
      <c r="A405" s="1">
        <v>324</v>
      </c>
    </row>
    <row r="406" spans="1:1" x14ac:dyDescent="0.15">
      <c r="A406" s="1">
        <v>325</v>
      </c>
    </row>
    <row r="407" spans="1:1" x14ac:dyDescent="0.15">
      <c r="A407" s="1">
        <v>326</v>
      </c>
    </row>
    <row r="408" spans="1:1" x14ac:dyDescent="0.15">
      <c r="A408" s="1">
        <v>327</v>
      </c>
    </row>
    <row r="409" spans="1:1" x14ac:dyDescent="0.15">
      <c r="A409" s="1">
        <v>328</v>
      </c>
    </row>
    <row r="410" spans="1:1" x14ac:dyDescent="0.15">
      <c r="A410" s="1">
        <v>329</v>
      </c>
    </row>
    <row r="411" spans="1:1" x14ac:dyDescent="0.15">
      <c r="A411" s="1">
        <v>330</v>
      </c>
    </row>
    <row r="412" spans="1:1" x14ac:dyDescent="0.15">
      <c r="A412" s="1">
        <v>331</v>
      </c>
    </row>
    <row r="413" spans="1:1" x14ac:dyDescent="0.15">
      <c r="A413" s="1">
        <v>332</v>
      </c>
    </row>
    <row r="414" spans="1:1" x14ac:dyDescent="0.15">
      <c r="A414" s="1">
        <v>333</v>
      </c>
    </row>
    <row r="415" spans="1:1" x14ac:dyDescent="0.15">
      <c r="A415" s="1">
        <v>334</v>
      </c>
    </row>
    <row r="416" spans="1:1" x14ac:dyDescent="0.15">
      <c r="A416" s="1">
        <v>335</v>
      </c>
    </row>
    <row r="417" spans="1:1" x14ac:dyDescent="0.15">
      <c r="A417" s="1">
        <v>336</v>
      </c>
    </row>
    <row r="418" spans="1:1" x14ac:dyDescent="0.15">
      <c r="A418" s="1">
        <v>337</v>
      </c>
    </row>
    <row r="419" spans="1:1" x14ac:dyDescent="0.15">
      <c r="A419" s="1">
        <v>338</v>
      </c>
    </row>
    <row r="420" spans="1:1" x14ac:dyDescent="0.15">
      <c r="A420" s="1">
        <v>339</v>
      </c>
    </row>
    <row r="421" spans="1:1" x14ac:dyDescent="0.15">
      <c r="A421" s="1">
        <v>340</v>
      </c>
    </row>
    <row r="422" spans="1:1" x14ac:dyDescent="0.15">
      <c r="A422" s="1">
        <v>341</v>
      </c>
    </row>
    <row r="423" spans="1:1" x14ac:dyDescent="0.15">
      <c r="A423" s="1">
        <v>342</v>
      </c>
    </row>
    <row r="424" spans="1:1" x14ac:dyDescent="0.15">
      <c r="A424" s="1">
        <v>343</v>
      </c>
    </row>
    <row r="425" spans="1:1" x14ac:dyDescent="0.15">
      <c r="A425" s="1">
        <v>344</v>
      </c>
    </row>
    <row r="426" spans="1:1" x14ac:dyDescent="0.15">
      <c r="A426" s="1">
        <v>345</v>
      </c>
    </row>
    <row r="427" spans="1:1" x14ac:dyDescent="0.15">
      <c r="A427" s="1">
        <v>346</v>
      </c>
    </row>
    <row r="428" spans="1:1" x14ac:dyDescent="0.15">
      <c r="A428" s="1">
        <v>347</v>
      </c>
    </row>
    <row r="429" spans="1:1" x14ac:dyDescent="0.15">
      <c r="A429" s="1">
        <v>348</v>
      </c>
    </row>
    <row r="430" spans="1:1" x14ac:dyDescent="0.15">
      <c r="A430" s="1">
        <v>349</v>
      </c>
    </row>
    <row r="431" spans="1:1" x14ac:dyDescent="0.15">
      <c r="A431" s="1">
        <v>350</v>
      </c>
    </row>
    <row r="432" spans="1:1" x14ac:dyDescent="0.15">
      <c r="A432" s="1">
        <v>351</v>
      </c>
    </row>
    <row r="433" spans="1:1" x14ac:dyDescent="0.15">
      <c r="A433" s="1">
        <v>352</v>
      </c>
    </row>
    <row r="434" spans="1:1" x14ac:dyDescent="0.15">
      <c r="A434" s="1">
        <v>353</v>
      </c>
    </row>
    <row r="435" spans="1:1" x14ac:dyDescent="0.15">
      <c r="A435" s="1">
        <v>354</v>
      </c>
    </row>
    <row r="436" spans="1:1" x14ac:dyDescent="0.15">
      <c r="A436" s="1">
        <v>355</v>
      </c>
    </row>
    <row r="437" spans="1:1" x14ac:dyDescent="0.15">
      <c r="A437" s="1">
        <v>356</v>
      </c>
    </row>
    <row r="438" spans="1:1" x14ac:dyDescent="0.15">
      <c r="A438" s="1">
        <v>357</v>
      </c>
    </row>
    <row r="439" spans="1:1" x14ac:dyDescent="0.15">
      <c r="A439" s="1">
        <v>358</v>
      </c>
    </row>
    <row r="440" spans="1:1" x14ac:dyDescent="0.15">
      <c r="A440" s="1">
        <v>359</v>
      </c>
    </row>
    <row r="441" spans="1:1" x14ac:dyDescent="0.15">
      <c r="A441" s="1">
        <v>360</v>
      </c>
    </row>
    <row r="442" spans="1:1" x14ac:dyDescent="0.15">
      <c r="A442" s="1">
        <v>361</v>
      </c>
    </row>
    <row r="443" spans="1:1" x14ac:dyDescent="0.15">
      <c r="A443" s="1">
        <v>362</v>
      </c>
    </row>
    <row r="444" spans="1:1" x14ac:dyDescent="0.15">
      <c r="A444" s="1">
        <v>363</v>
      </c>
    </row>
    <row r="445" spans="1:1" x14ac:dyDescent="0.15">
      <c r="A445" s="1">
        <v>364</v>
      </c>
    </row>
    <row r="446" spans="1:1" x14ac:dyDescent="0.15">
      <c r="A446" s="1">
        <v>365</v>
      </c>
    </row>
    <row r="447" spans="1:1" x14ac:dyDescent="0.15">
      <c r="A447" s="1">
        <v>366</v>
      </c>
    </row>
    <row r="448" spans="1:1" x14ac:dyDescent="0.15">
      <c r="A448" s="1">
        <v>367</v>
      </c>
    </row>
    <row r="449" spans="1:1" x14ac:dyDescent="0.15">
      <c r="A449" s="1">
        <v>368</v>
      </c>
    </row>
    <row r="450" spans="1:1" x14ac:dyDescent="0.15">
      <c r="A450" s="1">
        <v>369</v>
      </c>
    </row>
    <row r="451" spans="1:1" x14ac:dyDescent="0.15">
      <c r="A451" s="1">
        <v>370</v>
      </c>
    </row>
    <row r="452" spans="1:1" x14ac:dyDescent="0.15">
      <c r="A452" s="1">
        <v>371</v>
      </c>
    </row>
    <row r="453" spans="1:1" x14ac:dyDescent="0.15">
      <c r="A453" s="1">
        <v>372</v>
      </c>
    </row>
    <row r="454" spans="1:1" x14ac:dyDescent="0.15">
      <c r="A454" s="1">
        <v>373</v>
      </c>
    </row>
    <row r="455" spans="1:1" x14ac:dyDescent="0.15">
      <c r="A455" s="1">
        <v>374</v>
      </c>
    </row>
    <row r="456" spans="1:1" x14ac:dyDescent="0.15">
      <c r="A456" s="1">
        <v>375</v>
      </c>
    </row>
    <row r="457" spans="1:1" x14ac:dyDescent="0.15">
      <c r="A457" s="1">
        <v>376</v>
      </c>
    </row>
    <row r="458" spans="1:1" x14ac:dyDescent="0.15">
      <c r="A458" s="1">
        <v>377</v>
      </c>
    </row>
    <row r="459" spans="1:1" x14ac:dyDescent="0.15">
      <c r="A459" s="1">
        <v>378</v>
      </c>
    </row>
    <row r="460" spans="1:1" x14ac:dyDescent="0.15">
      <c r="A460" s="1">
        <v>379</v>
      </c>
    </row>
    <row r="461" spans="1:1" x14ac:dyDescent="0.15">
      <c r="A461" s="1">
        <v>380</v>
      </c>
    </row>
    <row r="462" spans="1:1" x14ac:dyDescent="0.15">
      <c r="A462" s="1">
        <v>381</v>
      </c>
    </row>
    <row r="463" spans="1:1" x14ac:dyDescent="0.15">
      <c r="A463" s="1">
        <v>382</v>
      </c>
    </row>
    <row r="464" spans="1:1" x14ac:dyDescent="0.15">
      <c r="A464" s="1">
        <v>383</v>
      </c>
    </row>
    <row r="465" spans="1:1" x14ac:dyDescent="0.15">
      <c r="A465" s="1">
        <v>384</v>
      </c>
    </row>
    <row r="466" spans="1:1" x14ac:dyDescent="0.15">
      <c r="A466" s="1">
        <v>385</v>
      </c>
    </row>
    <row r="467" spans="1:1" x14ac:dyDescent="0.15">
      <c r="A467" s="1">
        <v>386</v>
      </c>
    </row>
    <row r="468" spans="1:1" x14ac:dyDescent="0.15">
      <c r="A468" s="1">
        <v>387</v>
      </c>
    </row>
    <row r="469" spans="1:1" x14ac:dyDescent="0.15">
      <c r="A469" s="1">
        <v>388</v>
      </c>
    </row>
    <row r="470" spans="1:1" x14ac:dyDescent="0.15">
      <c r="A470" s="1">
        <v>389</v>
      </c>
    </row>
    <row r="471" spans="1:1" x14ac:dyDescent="0.15">
      <c r="A471" s="1">
        <v>390</v>
      </c>
    </row>
    <row r="472" spans="1:1" x14ac:dyDescent="0.15">
      <c r="A472" s="1">
        <v>391</v>
      </c>
    </row>
    <row r="473" spans="1:1" x14ac:dyDescent="0.15">
      <c r="A473" s="1">
        <v>392</v>
      </c>
    </row>
    <row r="474" spans="1:1" x14ac:dyDescent="0.15">
      <c r="A474" s="1">
        <v>393</v>
      </c>
    </row>
    <row r="475" spans="1:1" x14ac:dyDescent="0.15">
      <c r="A475" s="1">
        <v>394</v>
      </c>
    </row>
    <row r="476" spans="1:1" x14ac:dyDescent="0.15">
      <c r="A476" s="1">
        <v>395</v>
      </c>
    </row>
    <row r="477" spans="1:1" x14ac:dyDescent="0.15">
      <c r="A477" s="1">
        <v>396</v>
      </c>
    </row>
    <row r="478" spans="1:1" x14ac:dyDescent="0.15">
      <c r="A478" s="1">
        <v>397</v>
      </c>
    </row>
    <row r="479" spans="1:1" x14ac:dyDescent="0.15">
      <c r="A479" s="1">
        <v>398</v>
      </c>
    </row>
    <row r="480" spans="1:1" x14ac:dyDescent="0.15">
      <c r="A480" s="1">
        <v>399</v>
      </c>
    </row>
    <row r="481" spans="1:1" x14ac:dyDescent="0.15">
      <c r="A481" s="1">
        <v>400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26C4-5137-0F43-B56B-205F141766EC}">
  <sheetPr>
    <pageSetUpPr fitToPage="1"/>
  </sheetPr>
  <dimension ref="A1:F84"/>
  <sheetViews>
    <sheetView zoomScale="160" zoomScaleNormal="160" workbookViewId="0">
      <selection activeCell="B53" sqref="B53"/>
    </sheetView>
  </sheetViews>
  <sheetFormatPr baseColWidth="10" defaultColWidth="86.83203125" defaultRowHeight="11" x14ac:dyDescent="0.15"/>
  <cols>
    <col min="1" max="1" width="6.6640625" style="19" customWidth="1"/>
    <col min="2" max="2" width="24.83203125" style="19" bestFit="1" customWidth="1"/>
    <col min="3" max="3" width="6.6640625" style="19" customWidth="1"/>
    <col min="4" max="4" width="34.5" style="19" bestFit="1" customWidth="1"/>
    <col min="5" max="5" width="6.6640625" style="19" customWidth="1"/>
    <col min="6" max="6" width="46.83203125" style="19" bestFit="1" customWidth="1"/>
    <col min="7" max="16384" width="86.83203125" style="19"/>
  </cols>
  <sheetData>
    <row r="1" spans="1:6" ht="12" x14ac:dyDescent="0.15">
      <c r="A1" s="20"/>
      <c r="B1" s="21" t="s">
        <v>0</v>
      </c>
      <c r="C1" s="20"/>
      <c r="D1" s="21" t="s">
        <v>249</v>
      </c>
      <c r="E1" s="20"/>
      <c r="F1" s="20" t="s">
        <v>356</v>
      </c>
    </row>
    <row r="2" spans="1:6" ht="12" x14ac:dyDescent="0.15">
      <c r="A2" s="20"/>
      <c r="B2" s="21" t="s">
        <v>1</v>
      </c>
      <c r="C2" s="20"/>
      <c r="D2" s="21" t="s">
        <v>252</v>
      </c>
      <c r="E2" s="20"/>
      <c r="F2" s="20" t="s">
        <v>357</v>
      </c>
    </row>
    <row r="3" spans="1:6" ht="12" x14ac:dyDescent="0.15">
      <c r="A3" s="20"/>
      <c r="B3" s="21" t="s">
        <v>2</v>
      </c>
      <c r="C3" s="20"/>
      <c r="D3" s="21" t="s">
        <v>253</v>
      </c>
      <c r="E3" s="20"/>
      <c r="F3" s="20" t="s">
        <v>358</v>
      </c>
    </row>
    <row r="4" spans="1:6" ht="12" x14ac:dyDescent="0.15">
      <c r="A4" s="20"/>
      <c r="B4" s="21" t="s">
        <v>3</v>
      </c>
      <c r="C4" s="20"/>
      <c r="D4" s="21" t="s">
        <v>258</v>
      </c>
      <c r="E4" s="20"/>
      <c r="F4" s="20" t="s">
        <v>359</v>
      </c>
    </row>
    <row r="5" spans="1:6" ht="12" x14ac:dyDescent="0.15">
      <c r="A5" s="20"/>
      <c r="B5" s="21" t="s">
        <v>4</v>
      </c>
      <c r="C5" s="20"/>
      <c r="D5" s="21" t="s">
        <v>261</v>
      </c>
      <c r="E5" s="20"/>
      <c r="F5" s="20" t="s">
        <v>360</v>
      </c>
    </row>
    <row r="6" spans="1:6" ht="12" x14ac:dyDescent="0.15">
      <c r="A6" s="20"/>
      <c r="B6" s="21" t="s">
        <v>5</v>
      </c>
      <c r="C6" s="20"/>
      <c r="D6" s="22" t="s">
        <v>254</v>
      </c>
      <c r="E6" s="20"/>
      <c r="F6" s="20" t="s">
        <v>361</v>
      </c>
    </row>
    <row r="7" spans="1:6" ht="12" x14ac:dyDescent="0.15">
      <c r="A7" s="20"/>
      <c r="B7" s="21" t="s">
        <v>6</v>
      </c>
      <c r="C7" s="20"/>
      <c r="D7" s="22" t="s">
        <v>256</v>
      </c>
      <c r="E7" s="20"/>
      <c r="F7" s="20" t="s">
        <v>362</v>
      </c>
    </row>
    <row r="8" spans="1:6" ht="12" x14ac:dyDescent="0.15">
      <c r="A8" s="20"/>
      <c r="B8" s="21" t="s">
        <v>7</v>
      </c>
      <c r="C8" s="20"/>
      <c r="D8" s="22" t="s">
        <v>259</v>
      </c>
      <c r="E8" s="20"/>
      <c r="F8" s="20" t="s">
        <v>363</v>
      </c>
    </row>
    <row r="9" spans="1:6" ht="12" x14ac:dyDescent="0.15">
      <c r="A9" s="20"/>
      <c r="B9" s="21" t="s">
        <v>8</v>
      </c>
      <c r="C9" s="20"/>
      <c r="D9" s="22" t="s">
        <v>264</v>
      </c>
      <c r="E9" s="20"/>
      <c r="F9" s="20" t="s">
        <v>364</v>
      </c>
    </row>
    <row r="10" spans="1:6" ht="12" x14ac:dyDescent="0.15">
      <c r="A10" s="20"/>
      <c r="B10" s="21" t="s">
        <v>293</v>
      </c>
      <c r="C10" s="20"/>
      <c r="D10" s="22" t="s">
        <v>266</v>
      </c>
      <c r="E10" s="20"/>
      <c r="F10" s="20" t="s">
        <v>365</v>
      </c>
    </row>
    <row r="11" spans="1:6" ht="12" x14ac:dyDescent="0.15">
      <c r="A11" s="20"/>
      <c r="B11" s="21" t="s">
        <v>9</v>
      </c>
      <c r="C11" s="20"/>
      <c r="D11" s="22" t="s">
        <v>268</v>
      </c>
      <c r="E11" s="20"/>
      <c r="F11" s="20" t="s">
        <v>366</v>
      </c>
    </row>
    <row r="12" spans="1:6" ht="12" x14ac:dyDescent="0.15">
      <c r="A12" s="20"/>
      <c r="B12" s="21" t="s">
        <v>160</v>
      </c>
      <c r="C12" s="20"/>
      <c r="D12" s="21" t="s">
        <v>123</v>
      </c>
      <c r="E12" s="20"/>
      <c r="F12" s="20" t="s">
        <v>367</v>
      </c>
    </row>
    <row r="13" spans="1:6" ht="12" x14ac:dyDescent="0.15">
      <c r="A13" s="20"/>
      <c r="B13" s="21" t="s">
        <v>175</v>
      </c>
      <c r="C13" s="20"/>
      <c r="D13" s="21" t="s">
        <v>145</v>
      </c>
      <c r="E13" s="20"/>
      <c r="F13" s="20" t="s">
        <v>368</v>
      </c>
    </row>
    <row r="14" spans="1:6" ht="12" x14ac:dyDescent="0.15">
      <c r="A14" s="20"/>
      <c r="B14" s="21" t="s">
        <v>192</v>
      </c>
      <c r="C14" s="20"/>
      <c r="D14" s="21" t="s">
        <v>147</v>
      </c>
      <c r="E14" s="20"/>
      <c r="F14" s="20" t="s">
        <v>369</v>
      </c>
    </row>
    <row r="15" spans="1:6" ht="12" x14ac:dyDescent="0.15">
      <c r="A15" s="20"/>
      <c r="B15" s="21" t="s">
        <v>10</v>
      </c>
      <c r="C15" s="20"/>
      <c r="D15" s="21" t="s">
        <v>19</v>
      </c>
      <c r="E15" s="20"/>
      <c r="F15" s="20" t="s">
        <v>370</v>
      </c>
    </row>
    <row r="16" spans="1:6" ht="12" x14ac:dyDescent="0.15">
      <c r="A16" s="20"/>
      <c r="B16" s="21" t="s">
        <v>11</v>
      </c>
      <c r="C16" s="20"/>
      <c r="D16" s="21" t="s">
        <v>20</v>
      </c>
      <c r="E16" s="20"/>
      <c r="F16" s="20" t="s">
        <v>371</v>
      </c>
    </row>
    <row r="17" spans="1:6" ht="12" x14ac:dyDescent="0.15">
      <c r="A17" s="20"/>
      <c r="B17" s="21" t="s">
        <v>83</v>
      </c>
      <c r="C17" s="20"/>
      <c r="D17" s="21" t="s">
        <v>21</v>
      </c>
      <c r="E17" s="20"/>
      <c r="F17" s="20" t="s">
        <v>372</v>
      </c>
    </row>
    <row r="18" spans="1:6" ht="12" x14ac:dyDescent="0.15">
      <c r="A18" s="20"/>
      <c r="B18" s="21" t="s">
        <v>85</v>
      </c>
      <c r="C18" s="20"/>
      <c r="D18" s="21" t="s">
        <v>22</v>
      </c>
      <c r="E18" s="20"/>
      <c r="F18" s="20" t="s">
        <v>373</v>
      </c>
    </row>
    <row r="19" spans="1:6" ht="12" x14ac:dyDescent="0.15">
      <c r="A19" s="20"/>
      <c r="B19" s="21" t="s">
        <v>91</v>
      </c>
      <c r="C19" s="20"/>
      <c r="D19" s="21" t="s">
        <v>23</v>
      </c>
      <c r="E19" s="20"/>
      <c r="F19" s="20" t="s">
        <v>374</v>
      </c>
    </row>
    <row r="20" spans="1:6" ht="12" x14ac:dyDescent="0.15">
      <c r="A20" s="20"/>
      <c r="B20" s="21" t="s">
        <v>12</v>
      </c>
      <c r="C20" s="20"/>
      <c r="D20" s="21" t="s">
        <v>24</v>
      </c>
      <c r="E20" s="20"/>
      <c r="F20" s="20" t="s">
        <v>375</v>
      </c>
    </row>
    <row r="21" spans="1:6" ht="12" x14ac:dyDescent="0.15">
      <c r="A21" s="20"/>
      <c r="B21" s="21" t="s">
        <v>87</v>
      </c>
      <c r="C21" s="20"/>
      <c r="D21" s="21" t="s">
        <v>25</v>
      </c>
      <c r="E21" s="20"/>
      <c r="F21" s="20" t="s">
        <v>376</v>
      </c>
    </row>
    <row r="22" spans="1:6" ht="12" x14ac:dyDescent="0.15">
      <c r="A22" s="20"/>
      <c r="B22" s="21" t="s">
        <v>89</v>
      </c>
      <c r="C22" s="20"/>
      <c r="D22" s="21" t="s">
        <v>26</v>
      </c>
      <c r="E22" s="20"/>
      <c r="F22" s="20" t="s">
        <v>377</v>
      </c>
    </row>
    <row r="23" spans="1:6" ht="12" x14ac:dyDescent="0.15">
      <c r="A23" s="20"/>
      <c r="B23" s="21" t="s">
        <v>93</v>
      </c>
      <c r="C23" s="20"/>
      <c r="D23" s="21" t="s">
        <v>27</v>
      </c>
      <c r="E23" s="20"/>
      <c r="F23" s="20" t="s">
        <v>378</v>
      </c>
    </row>
    <row r="24" spans="1:6" ht="12" x14ac:dyDescent="0.15">
      <c r="A24" s="20"/>
      <c r="B24" s="21" t="s">
        <v>95</v>
      </c>
      <c r="C24" s="20"/>
      <c r="D24" s="21" t="s">
        <v>28</v>
      </c>
      <c r="E24" s="20"/>
      <c r="F24" s="20" t="s">
        <v>379</v>
      </c>
    </row>
    <row r="25" spans="1:6" ht="12" x14ac:dyDescent="0.15">
      <c r="A25" s="20"/>
      <c r="B25" s="21" t="s">
        <v>97</v>
      </c>
      <c r="C25" s="20"/>
      <c r="D25" s="21" t="s">
        <v>29</v>
      </c>
      <c r="E25" s="20"/>
      <c r="F25" s="20" t="s">
        <v>380</v>
      </c>
    </row>
    <row r="26" spans="1:6" ht="12" x14ac:dyDescent="0.15">
      <c r="A26" s="20"/>
      <c r="B26" s="21" t="s">
        <v>99</v>
      </c>
      <c r="C26" s="20"/>
      <c r="D26" s="21" t="s">
        <v>30</v>
      </c>
      <c r="E26" s="20"/>
      <c r="F26" s="20" t="s">
        <v>381</v>
      </c>
    </row>
    <row r="27" spans="1:6" ht="12" x14ac:dyDescent="0.15">
      <c r="A27" s="20"/>
      <c r="B27" s="21" t="s">
        <v>101</v>
      </c>
      <c r="C27" s="20"/>
      <c r="D27" s="21" t="s">
        <v>31</v>
      </c>
      <c r="E27" s="20"/>
      <c r="F27" s="20" t="s">
        <v>382</v>
      </c>
    </row>
    <row r="28" spans="1:6" ht="12" x14ac:dyDescent="0.15">
      <c r="A28" s="20"/>
      <c r="B28" s="21" t="s">
        <v>13</v>
      </c>
      <c r="C28" s="20"/>
      <c r="D28" s="21" t="s">
        <v>32</v>
      </c>
      <c r="E28" s="20"/>
      <c r="F28" s="20" t="s">
        <v>383</v>
      </c>
    </row>
    <row r="29" spans="1:6" ht="12" x14ac:dyDescent="0.15">
      <c r="A29" s="20"/>
      <c r="B29" s="21" t="s">
        <v>14</v>
      </c>
      <c r="C29" s="20"/>
      <c r="D29" s="21" t="s">
        <v>33</v>
      </c>
      <c r="E29" s="20"/>
      <c r="F29" s="20" t="s">
        <v>384</v>
      </c>
    </row>
    <row r="30" spans="1:6" ht="12" x14ac:dyDescent="0.15">
      <c r="A30" s="20"/>
      <c r="B30" s="21" t="s">
        <v>102</v>
      </c>
      <c r="C30" s="20"/>
      <c r="D30" s="21" t="s">
        <v>34</v>
      </c>
      <c r="E30" s="20"/>
      <c r="F30" s="20" t="s">
        <v>385</v>
      </c>
    </row>
    <row r="31" spans="1:6" ht="12" x14ac:dyDescent="0.15">
      <c r="A31" s="20"/>
      <c r="B31" s="21" t="s">
        <v>103</v>
      </c>
      <c r="C31" s="20"/>
      <c r="D31" s="21" t="s">
        <v>35</v>
      </c>
      <c r="E31" s="20"/>
      <c r="F31" s="20" t="s">
        <v>386</v>
      </c>
    </row>
    <row r="32" spans="1:6" ht="12" x14ac:dyDescent="0.15">
      <c r="A32" s="20"/>
      <c r="B32" s="21" t="s">
        <v>105</v>
      </c>
      <c r="C32" s="20"/>
      <c r="D32" s="21" t="s">
        <v>36</v>
      </c>
      <c r="E32" s="20"/>
      <c r="F32" s="20" t="s">
        <v>387</v>
      </c>
    </row>
    <row r="33" spans="1:6" ht="12" x14ac:dyDescent="0.15">
      <c r="A33" s="20"/>
      <c r="B33" s="21" t="s">
        <v>15</v>
      </c>
      <c r="C33" s="20"/>
      <c r="D33" s="21" t="s">
        <v>37</v>
      </c>
      <c r="E33" s="20"/>
      <c r="F33" s="20" t="s">
        <v>388</v>
      </c>
    </row>
    <row r="34" spans="1:6" ht="12" x14ac:dyDescent="0.15">
      <c r="A34" s="20"/>
      <c r="B34" s="21" t="s">
        <v>107</v>
      </c>
      <c r="C34" s="20"/>
      <c r="D34" s="21" t="s">
        <v>38</v>
      </c>
      <c r="E34" s="20"/>
      <c r="F34" s="20" t="s">
        <v>389</v>
      </c>
    </row>
    <row r="35" spans="1:6" ht="12" x14ac:dyDescent="0.15">
      <c r="A35" s="20"/>
      <c r="B35" s="21" t="s">
        <v>109</v>
      </c>
      <c r="C35" s="20"/>
      <c r="D35" s="21" t="s">
        <v>39</v>
      </c>
      <c r="E35" s="20"/>
      <c r="F35" s="20" t="s">
        <v>390</v>
      </c>
    </row>
    <row r="36" spans="1:6" ht="12" x14ac:dyDescent="0.15">
      <c r="A36" s="20"/>
      <c r="B36" s="21" t="s">
        <v>110</v>
      </c>
      <c r="C36" s="20"/>
      <c r="D36" s="21" t="s">
        <v>40</v>
      </c>
      <c r="E36" s="20"/>
      <c r="F36" s="20" t="s">
        <v>391</v>
      </c>
    </row>
    <row r="37" spans="1:6" ht="12" x14ac:dyDescent="0.15">
      <c r="A37" s="20"/>
      <c r="B37" s="21" t="s">
        <v>111</v>
      </c>
      <c r="C37" s="20"/>
      <c r="D37" s="21" t="s">
        <v>41</v>
      </c>
      <c r="E37" s="20"/>
      <c r="F37" s="20" t="s">
        <v>392</v>
      </c>
    </row>
    <row r="38" spans="1:6" ht="12" x14ac:dyDescent="0.15">
      <c r="A38" s="20"/>
      <c r="B38" s="21" t="s">
        <v>16</v>
      </c>
      <c r="C38" s="20"/>
      <c r="D38" s="21" t="s">
        <v>42</v>
      </c>
      <c r="E38" s="20"/>
      <c r="F38" s="20" t="s">
        <v>393</v>
      </c>
    </row>
    <row r="39" spans="1:6" ht="12" x14ac:dyDescent="0.15">
      <c r="A39" s="20"/>
      <c r="B39" s="21" t="s">
        <v>112</v>
      </c>
      <c r="C39" s="20"/>
      <c r="D39" s="21" t="s">
        <v>149</v>
      </c>
      <c r="E39" s="20"/>
      <c r="F39" s="20" t="s">
        <v>394</v>
      </c>
    </row>
    <row r="40" spans="1:6" ht="12" x14ac:dyDescent="0.15">
      <c r="A40" s="20"/>
      <c r="B40" s="21" t="s">
        <v>114</v>
      </c>
      <c r="C40" s="20"/>
      <c r="D40" s="21" t="s">
        <v>43</v>
      </c>
      <c r="E40" s="20"/>
      <c r="F40" s="20" t="s">
        <v>395</v>
      </c>
    </row>
    <row r="41" spans="1:6" ht="12" x14ac:dyDescent="0.15">
      <c r="A41" s="20"/>
      <c r="B41" s="21" t="s">
        <v>17</v>
      </c>
      <c r="C41" s="20"/>
      <c r="D41" s="21" t="s">
        <v>44</v>
      </c>
      <c r="E41" s="20"/>
      <c r="F41" s="20" t="s">
        <v>396</v>
      </c>
    </row>
    <row r="42" spans="1:6" ht="12" x14ac:dyDescent="0.15">
      <c r="A42" s="20"/>
      <c r="B42" s="21" t="s">
        <v>115</v>
      </c>
      <c r="C42" s="20"/>
      <c r="D42" s="21" t="s">
        <v>45</v>
      </c>
      <c r="E42" s="20"/>
      <c r="F42" s="20" t="s">
        <v>397</v>
      </c>
    </row>
    <row r="43" spans="1:6" ht="12" x14ac:dyDescent="0.15">
      <c r="A43" s="20"/>
      <c r="B43" s="21" t="s">
        <v>18</v>
      </c>
      <c r="C43" s="20"/>
      <c r="D43" s="21" t="s">
        <v>46</v>
      </c>
      <c r="E43" s="20"/>
      <c r="F43" s="20" t="s">
        <v>398</v>
      </c>
    </row>
    <row r="44" spans="1:6" ht="12" x14ac:dyDescent="0.15">
      <c r="A44" s="20"/>
      <c r="B44" s="21" t="s">
        <v>117</v>
      </c>
      <c r="C44" s="20"/>
      <c r="D44" s="21" t="s">
        <v>47</v>
      </c>
      <c r="E44" s="20"/>
      <c r="F44" s="20" t="s">
        <v>399</v>
      </c>
    </row>
    <row r="45" spans="1:6" ht="12" x14ac:dyDescent="0.15">
      <c r="A45" s="20"/>
      <c r="B45" s="21" t="s">
        <v>119</v>
      </c>
      <c r="C45" s="20"/>
      <c r="D45" s="21" t="s">
        <v>48</v>
      </c>
      <c r="E45" s="20"/>
      <c r="F45" s="20" t="s">
        <v>400</v>
      </c>
    </row>
    <row r="46" spans="1:6" ht="12" x14ac:dyDescent="0.15">
      <c r="A46" s="20"/>
      <c r="C46" s="20"/>
      <c r="D46" s="21" t="s">
        <v>49</v>
      </c>
      <c r="E46" s="20"/>
      <c r="F46" s="20" t="s">
        <v>401</v>
      </c>
    </row>
    <row r="47" spans="1:6" ht="12" x14ac:dyDescent="0.15">
      <c r="A47" s="20"/>
      <c r="B47" s="21" t="s">
        <v>121</v>
      </c>
      <c r="C47" s="20"/>
      <c r="D47" s="21" t="s">
        <v>50</v>
      </c>
      <c r="E47" s="20"/>
      <c r="F47" s="20" t="s">
        <v>402</v>
      </c>
    </row>
    <row r="48" spans="1:6" ht="12" x14ac:dyDescent="0.15">
      <c r="A48" s="20"/>
      <c r="B48" s="21" t="s">
        <v>241</v>
      </c>
      <c r="C48" s="20"/>
      <c r="D48" s="21" t="s">
        <v>51</v>
      </c>
      <c r="E48" s="20"/>
      <c r="F48" s="20" t="s">
        <v>403</v>
      </c>
    </row>
    <row r="49" spans="1:6" ht="12" x14ac:dyDescent="0.15">
      <c r="A49" s="20"/>
      <c r="B49" s="21" t="s">
        <v>243</v>
      </c>
      <c r="C49" s="20"/>
      <c r="D49" s="21" t="s">
        <v>52</v>
      </c>
      <c r="E49" s="20"/>
      <c r="F49" s="20" t="s">
        <v>404</v>
      </c>
    </row>
    <row r="50" spans="1:6" ht="12" x14ac:dyDescent="0.15">
      <c r="A50" s="20"/>
      <c r="B50" s="21" t="s">
        <v>245</v>
      </c>
      <c r="C50" s="20"/>
      <c r="D50" s="21" t="s">
        <v>53</v>
      </c>
      <c r="E50" s="20"/>
      <c r="F50" s="20" t="s">
        <v>405</v>
      </c>
    </row>
    <row r="51" spans="1:6" ht="12" x14ac:dyDescent="0.15">
      <c r="A51" s="20"/>
      <c r="B51" s="21" t="s">
        <v>247</v>
      </c>
      <c r="C51" s="20"/>
      <c r="D51" s="21" t="s">
        <v>54</v>
      </c>
      <c r="E51" s="20"/>
      <c r="F51" s="20" t="s">
        <v>406</v>
      </c>
    </row>
    <row r="52" spans="1:6" ht="12" x14ac:dyDescent="0.15">
      <c r="A52" s="20"/>
      <c r="B52" s="20"/>
      <c r="C52" s="20"/>
      <c r="D52" s="21" t="s">
        <v>55</v>
      </c>
      <c r="E52" s="20"/>
      <c r="F52" s="20" t="s">
        <v>407</v>
      </c>
    </row>
    <row r="53" spans="1:6" ht="12" x14ac:dyDescent="0.15">
      <c r="A53" s="20"/>
      <c r="B53" s="20" t="s">
        <v>123</v>
      </c>
      <c r="C53" s="20"/>
      <c r="D53" s="21" t="s">
        <v>56</v>
      </c>
      <c r="E53" s="20"/>
      <c r="F53" s="20" t="s">
        <v>408</v>
      </c>
    </row>
    <row r="54" spans="1:6" ht="12" x14ac:dyDescent="0.15">
      <c r="A54" s="20"/>
      <c r="B54" s="20"/>
      <c r="C54" s="20"/>
      <c r="D54" s="21" t="s">
        <v>151</v>
      </c>
      <c r="E54" s="20"/>
      <c r="F54" s="20" t="s">
        <v>409</v>
      </c>
    </row>
    <row r="55" spans="1:6" ht="12" x14ac:dyDescent="0.15">
      <c r="A55" s="20"/>
      <c r="B55" s="20"/>
      <c r="C55" s="20"/>
      <c r="D55" s="21" t="s">
        <v>57</v>
      </c>
      <c r="E55" s="20"/>
      <c r="F55" s="20" t="s">
        <v>410</v>
      </c>
    </row>
    <row r="56" spans="1:6" ht="12" x14ac:dyDescent="0.15">
      <c r="A56" s="20"/>
      <c r="B56" s="20"/>
      <c r="C56" s="20"/>
      <c r="D56" s="21" t="s">
        <v>58</v>
      </c>
      <c r="E56" s="20"/>
      <c r="F56" s="20" t="s">
        <v>411</v>
      </c>
    </row>
    <row r="57" spans="1:6" ht="12" x14ac:dyDescent="0.15">
      <c r="A57" s="20"/>
      <c r="B57" s="20"/>
      <c r="C57" s="20"/>
      <c r="D57" s="21" t="s">
        <v>59</v>
      </c>
      <c r="E57" s="20"/>
      <c r="F57" s="20" t="s">
        <v>412</v>
      </c>
    </row>
    <row r="58" spans="1:6" ht="12" x14ac:dyDescent="0.15">
      <c r="A58" s="20"/>
      <c r="B58" s="20"/>
      <c r="C58" s="20"/>
      <c r="D58" s="21" t="s">
        <v>60</v>
      </c>
      <c r="E58" s="20"/>
      <c r="F58" s="20" t="s">
        <v>413</v>
      </c>
    </row>
    <row r="59" spans="1:6" ht="12" x14ac:dyDescent="0.15">
      <c r="A59" s="20"/>
      <c r="B59" s="20"/>
      <c r="C59" s="20"/>
      <c r="D59" s="21" t="s">
        <v>61</v>
      </c>
      <c r="E59" s="20"/>
      <c r="F59" s="20" t="s">
        <v>414</v>
      </c>
    </row>
    <row r="60" spans="1:6" ht="12" x14ac:dyDescent="0.15">
      <c r="A60" s="20"/>
      <c r="B60" s="20"/>
      <c r="C60" s="20"/>
      <c r="D60" s="21" t="s">
        <v>153</v>
      </c>
      <c r="E60" s="20"/>
      <c r="F60" s="20" t="s">
        <v>415</v>
      </c>
    </row>
    <row r="61" spans="1:6" ht="12" x14ac:dyDescent="0.15">
      <c r="A61" s="20"/>
      <c r="B61" s="20"/>
      <c r="C61" s="20"/>
      <c r="D61" s="21" t="s">
        <v>62</v>
      </c>
      <c r="E61" s="20"/>
      <c r="F61" s="20" t="s">
        <v>416</v>
      </c>
    </row>
    <row r="62" spans="1:6" ht="12" x14ac:dyDescent="0.15">
      <c r="A62" s="20"/>
      <c r="B62" s="20"/>
      <c r="C62" s="20"/>
      <c r="D62" s="21" t="s">
        <v>63</v>
      </c>
      <c r="E62" s="20"/>
      <c r="F62" s="20" t="s">
        <v>417</v>
      </c>
    </row>
    <row r="63" spans="1:6" ht="12" x14ac:dyDescent="0.15">
      <c r="A63" s="20"/>
      <c r="B63" s="20"/>
      <c r="C63" s="20"/>
      <c r="D63" s="21" t="s">
        <v>151</v>
      </c>
      <c r="E63" s="20"/>
      <c r="F63" s="20" t="s">
        <v>418</v>
      </c>
    </row>
    <row r="64" spans="1:6" ht="12" x14ac:dyDescent="0.15">
      <c r="A64" s="20"/>
      <c r="B64" s="20"/>
      <c r="C64" s="20"/>
      <c r="D64" s="21" t="s">
        <v>156</v>
      </c>
      <c r="E64" s="20"/>
      <c r="F64" s="20" t="s">
        <v>419</v>
      </c>
    </row>
    <row r="65" spans="1:6" ht="12" x14ac:dyDescent="0.15">
      <c r="A65" s="20"/>
      <c r="B65" s="20"/>
      <c r="C65" s="20"/>
      <c r="D65" s="21" t="s">
        <v>64</v>
      </c>
      <c r="E65" s="20"/>
      <c r="F65" s="20" t="s">
        <v>420</v>
      </c>
    </row>
    <row r="66" spans="1:6" ht="12" x14ac:dyDescent="0.15">
      <c r="A66" s="20"/>
      <c r="B66" s="20"/>
      <c r="C66" s="20"/>
      <c r="D66" s="21" t="s">
        <v>65</v>
      </c>
      <c r="E66" s="20"/>
      <c r="F66" s="20" t="s">
        <v>421</v>
      </c>
    </row>
    <row r="67" spans="1:6" ht="12" x14ac:dyDescent="0.15">
      <c r="A67" s="20"/>
      <c r="B67" s="20"/>
      <c r="C67" s="20"/>
      <c r="D67" s="21" t="s">
        <v>66</v>
      </c>
      <c r="E67" s="20"/>
      <c r="F67" s="20" t="s">
        <v>422</v>
      </c>
    </row>
    <row r="68" spans="1:6" ht="12" x14ac:dyDescent="0.15">
      <c r="A68" s="20"/>
      <c r="B68" s="20"/>
      <c r="C68" s="20"/>
      <c r="D68" s="21" t="s">
        <v>67</v>
      </c>
      <c r="E68" s="20"/>
      <c r="F68" s="20" t="s">
        <v>423</v>
      </c>
    </row>
    <row r="69" spans="1:6" ht="12" x14ac:dyDescent="0.15">
      <c r="A69" s="20"/>
      <c r="B69" s="20"/>
      <c r="C69" s="20"/>
      <c r="D69" s="21" t="s">
        <v>68</v>
      </c>
      <c r="E69" s="20"/>
      <c r="F69" s="20" t="s">
        <v>424</v>
      </c>
    </row>
    <row r="70" spans="1:6" ht="12" x14ac:dyDescent="0.15">
      <c r="A70" s="20"/>
      <c r="B70" s="20"/>
      <c r="C70" s="20"/>
      <c r="D70" s="21" t="s">
        <v>69</v>
      </c>
      <c r="E70" s="20"/>
      <c r="F70" s="20" t="s">
        <v>425</v>
      </c>
    </row>
    <row r="71" spans="1:6" ht="12" x14ac:dyDescent="0.15">
      <c r="A71" s="20"/>
      <c r="B71" s="20"/>
      <c r="C71" s="20"/>
      <c r="D71" s="21" t="s">
        <v>70</v>
      </c>
      <c r="E71" s="20"/>
      <c r="F71" s="20" t="s">
        <v>426</v>
      </c>
    </row>
    <row r="72" spans="1:6" ht="12" x14ac:dyDescent="0.15">
      <c r="A72" s="20"/>
      <c r="B72" s="20"/>
      <c r="C72" s="20"/>
      <c r="D72" s="21" t="s">
        <v>71</v>
      </c>
      <c r="E72" s="20"/>
      <c r="F72" s="20" t="s">
        <v>427</v>
      </c>
    </row>
    <row r="73" spans="1:6" ht="12" x14ac:dyDescent="0.15">
      <c r="A73" s="20"/>
      <c r="B73" s="20"/>
      <c r="C73" s="20"/>
      <c r="D73" s="21" t="s">
        <v>72</v>
      </c>
      <c r="E73" s="20"/>
      <c r="F73" s="20" t="s">
        <v>428</v>
      </c>
    </row>
    <row r="74" spans="1:6" ht="12" x14ac:dyDescent="0.15">
      <c r="A74" s="20"/>
      <c r="B74" s="20"/>
      <c r="C74" s="20"/>
      <c r="D74" s="21" t="s">
        <v>73</v>
      </c>
      <c r="E74" s="20"/>
      <c r="F74" s="20" t="s">
        <v>429</v>
      </c>
    </row>
    <row r="75" spans="1:6" ht="12" x14ac:dyDescent="0.15">
      <c r="A75" s="20"/>
      <c r="B75" s="20"/>
      <c r="C75" s="20"/>
      <c r="D75" s="21" t="s">
        <v>74</v>
      </c>
      <c r="E75" s="20"/>
      <c r="F75" s="20" t="s">
        <v>430</v>
      </c>
    </row>
    <row r="76" spans="1:6" ht="12" x14ac:dyDescent="0.15">
      <c r="A76" s="20"/>
      <c r="B76" s="20"/>
      <c r="C76" s="20"/>
      <c r="D76" s="21" t="s">
        <v>158</v>
      </c>
      <c r="E76" s="20"/>
      <c r="F76" s="20" t="s">
        <v>431</v>
      </c>
    </row>
    <row r="77" spans="1:6" ht="12" x14ac:dyDescent="0.15">
      <c r="A77" s="20"/>
      <c r="B77" s="20"/>
      <c r="C77" s="20"/>
      <c r="D77" s="21" t="s">
        <v>159</v>
      </c>
      <c r="E77" s="20"/>
      <c r="F77" s="20" t="s">
        <v>432</v>
      </c>
    </row>
    <row r="78" spans="1:6" ht="12" x14ac:dyDescent="0.15">
      <c r="A78" s="20"/>
      <c r="B78" s="20"/>
      <c r="C78" s="20"/>
      <c r="D78" s="21" t="s">
        <v>75</v>
      </c>
      <c r="E78" s="20"/>
      <c r="F78" s="20" t="s">
        <v>433</v>
      </c>
    </row>
    <row r="79" spans="1:6" ht="12" x14ac:dyDescent="0.15">
      <c r="A79" s="20"/>
      <c r="B79" s="20"/>
      <c r="C79" s="20"/>
      <c r="D79" s="21" t="s">
        <v>76</v>
      </c>
      <c r="E79" s="20"/>
      <c r="F79" s="20" t="s">
        <v>434</v>
      </c>
    </row>
    <row r="80" spans="1:6" ht="12" x14ac:dyDescent="0.15">
      <c r="A80" s="20"/>
      <c r="B80" s="20"/>
      <c r="C80" s="20"/>
      <c r="D80" s="21" t="s">
        <v>77</v>
      </c>
      <c r="E80" s="20"/>
      <c r="F80" s="20" t="s">
        <v>435</v>
      </c>
    </row>
    <row r="81" spans="1:6" ht="12" x14ac:dyDescent="0.15">
      <c r="A81" s="20"/>
      <c r="B81" s="20"/>
      <c r="C81" s="20"/>
      <c r="D81" s="21" t="s">
        <v>78</v>
      </c>
      <c r="E81" s="20"/>
      <c r="F81" s="20" t="s">
        <v>436</v>
      </c>
    </row>
    <row r="82" spans="1:6" ht="12" x14ac:dyDescent="0.15">
      <c r="A82" s="20"/>
      <c r="B82" s="20"/>
      <c r="C82" s="20"/>
      <c r="D82" s="21" t="s">
        <v>79</v>
      </c>
      <c r="E82" s="20"/>
      <c r="F82" s="20" t="s">
        <v>437</v>
      </c>
    </row>
    <row r="83" spans="1:6" ht="12" x14ac:dyDescent="0.15">
      <c r="A83" s="20"/>
      <c r="B83" s="20"/>
      <c r="C83" s="20"/>
      <c r="D83" s="21" t="s">
        <v>80</v>
      </c>
      <c r="E83" s="20"/>
      <c r="F83" s="20" t="s">
        <v>438</v>
      </c>
    </row>
    <row r="84" spans="1:6" x14ac:dyDescent="0.15">
      <c r="A84" s="20"/>
      <c r="B84" s="20"/>
      <c r="C84" s="20"/>
      <c r="D84" s="20"/>
      <c r="E84" s="20"/>
      <c r="F84" s="20" t="s">
        <v>439</v>
      </c>
    </row>
  </sheetData>
  <pageMargins left="0.511811024" right="0.511811024" top="0.78740157499999996" bottom="0.78740157499999996" header="0.31496062000000002" footer="0.31496062000000002"/>
  <pageSetup paperSize="9" scale="6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EBC2-2130-784B-87B4-0FA611CA5DF2}">
  <dimension ref="A1:D480"/>
  <sheetViews>
    <sheetView tabSelected="1" topLeftCell="A251" workbookViewId="0">
      <selection activeCell="B277" sqref="B277"/>
    </sheetView>
  </sheetViews>
  <sheetFormatPr baseColWidth="10" defaultColWidth="100.5" defaultRowHeight="16" x14ac:dyDescent="0.2"/>
  <cols>
    <col min="1" max="1" width="4.6640625" style="24" bestFit="1" customWidth="1"/>
    <col min="2" max="2" width="90.83203125" style="24" bestFit="1" customWidth="1"/>
    <col min="3" max="3" width="55.6640625" style="24" bestFit="1" customWidth="1"/>
    <col min="4" max="4" width="69.1640625" style="24" bestFit="1" customWidth="1"/>
    <col min="5" max="16384" width="100.5" style="24"/>
  </cols>
  <sheetData>
    <row r="1" spans="1:4" ht="17" x14ac:dyDescent="0.2">
      <c r="A1" s="23" t="s">
        <v>125</v>
      </c>
      <c r="B1" s="23" t="s">
        <v>82</v>
      </c>
      <c r="C1" s="23" t="s">
        <v>81</v>
      </c>
      <c r="D1" s="23"/>
    </row>
    <row r="2" spans="1:4" ht="17" x14ac:dyDescent="0.2">
      <c r="A2" s="26">
        <v>1</v>
      </c>
      <c r="B2" s="26"/>
      <c r="C2" s="27" t="s">
        <v>0</v>
      </c>
      <c r="D2" s="26"/>
    </row>
    <row r="3" spans="1:4" ht="17" x14ac:dyDescent="0.2">
      <c r="A3" s="26"/>
      <c r="B3" s="26"/>
      <c r="C3" s="27"/>
      <c r="D3" s="26" t="s">
        <v>272</v>
      </c>
    </row>
    <row r="4" spans="1:4" ht="17" x14ac:dyDescent="0.2">
      <c r="A4" s="26"/>
      <c r="B4" s="26"/>
      <c r="C4" s="27"/>
      <c r="D4" s="26" t="s">
        <v>292</v>
      </c>
    </row>
    <row r="5" spans="1:4" ht="17" x14ac:dyDescent="0.2">
      <c r="A5" s="26"/>
      <c r="B5" s="26"/>
      <c r="C5" s="27"/>
      <c r="D5" s="26" t="s">
        <v>291</v>
      </c>
    </row>
    <row r="6" spans="1:4" ht="17" x14ac:dyDescent="0.2">
      <c r="A6" s="26"/>
      <c r="B6" s="26"/>
      <c r="C6" s="27"/>
      <c r="D6" s="26" t="s">
        <v>274</v>
      </c>
    </row>
    <row r="7" spans="1:4" ht="17" x14ac:dyDescent="0.2">
      <c r="A7" s="26">
        <v>2</v>
      </c>
      <c r="B7" s="26"/>
      <c r="C7" s="27" t="s">
        <v>1</v>
      </c>
      <c r="D7" s="26"/>
    </row>
    <row r="8" spans="1:4" ht="17" x14ac:dyDescent="0.2">
      <c r="A8" s="26"/>
      <c r="B8" s="26"/>
      <c r="C8" s="27"/>
      <c r="D8" s="26" t="s">
        <v>281</v>
      </c>
    </row>
    <row r="9" spans="1:4" ht="17" x14ac:dyDescent="0.2">
      <c r="A9" s="26">
        <v>3</v>
      </c>
      <c r="B9" s="26"/>
      <c r="C9" s="27" t="s">
        <v>2</v>
      </c>
      <c r="D9" s="26"/>
    </row>
    <row r="10" spans="1:4" ht="17" x14ac:dyDescent="0.2">
      <c r="A10" s="26"/>
      <c r="B10" s="26"/>
      <c r="C10" s="27"/>
      <c r="D10" s="26" t="s">
        <v>275</v>
      </c>
    </row>
    <row r="11" spans="1:4" ht="17" x14ac:dyDescent="0.2">
      <c r="A11" s="26">
        <v>4</v>
      </c>
      <c r="B11" s="26"/>
      <c r="C11" s="27" t="s">
        <v>3</v>
      </c>
      <c r="D11" s="26"/>
    </row>
    <row r="12" spans="1:4" ht="17" x14ac:dyDescent="0.2">
      <c r="A12" s="26"/>
      <c r="B12" s="26"/>
      <c r="C12" s="27"/>
      <c r="D12" s="26" t="s">
        <v>275</v>
      </c>
    </row>
    <row r="13" spans="1:4" ht="17" x14ac:dyDescent="0.2">
      <c r="A13" s="26"/>
      <c r="B13" s="26"/>
      <c r="C13" s="27"/>
      <c r="D13" s="26" t="s">
        <v>276</v>
      </c>
    </row>
    <row r="14" spans="1:4" ht="17" x14ac:dyDescent="0.2">
      <c r="A14" s="26">
        <v>5</v>
      </c>
      <c r="B14" s="26"/>
      <c r="C14" s="27" t="s">
        <v>4</v>
      </c>
      <c r="D14" s="26"/>
    </row>
    <row r="15" spans="1:4" ht="17" x14ac:dyDescent="0.2">
      <c r="A15" s="26"/>
      <c r="B15" s="26"/>
      <c r="C15" s="27"/>
      <c r="D15" s="26" t="s">
        <v>277</v>
      </c>
    </row>
    <row r="16" spans="1:4" ht="17" x14ac:dyDescent="0.2">
      <c r="A16" s="26"/>
      <c r="B16" s="26"/>
      <c r="C16" s="27"/>
      <c r="D16" s="26" t="s">
        <v>278</v>
      </c>
    </row>
    <row r="17" spans="1:4" ht="17" x14ac:dyDescent="0.2">
      <c r="A17" s="26">
        <v>6</v>
      </c>
      <c r="B17" s="26"/>
      <c r="C17" s="27" t="s">
        <v>5</v>
      </c>
      <c r="D17" s="26"/>
    </row>
    <row r="18" spans="1:4" ht="17" x14ac:dyDescent="0.2">
      <c r="A18" s="26"/>
      <c r="B18" s="26"/>
      <c r="C18" s="27"/>
      <c r="D18" s="26" t="s">
        <v>282</v>
      </c>
    </row>
    <row r="19" spans="1:4" ht="17" x14ac:dyDescent="0.2">
      <c r="A19" s="26"/>
      <c r="B19" s="26"/>
      <c r="C19" s="27"/>
      <c r="D19" s="26" t="s">
        <v>283</v>
      </c>
    </row>
    <row r="20" spans="1:4" ht="17" x14ac:dyDescent="0.2">
      <c r="A20" s="26"/>
      <c r="B20" s="26"/>
      <c r="C20" s="27"/>
      <c r="D20" s="26" t="s">
        <v>284</v>
      </c>
    </row>
    <row r="21" spans="1:4" ht="17" x14ac:dyDescent="0.2">
      <c r="A21" s="26">
        <v>7</v>
      </c>
      <c r="B21" s="26"/>
      <c r="C21" s="27" t="s">
        <v>6</v>
      </c>
      <c r="D21" s="26"/>
    </row>
    <row r="22" spans="1:4" ht="17" x14ac:dyDescent="0.2">
      <c r="A22" s="26"/>
      <c r="B22" s="26"/>
      <c r="C22" s="27"/>
      <c r="D22" s="26" t="s">
        <v>273</v>
      </c>
    </row>
    <row r="23" spans="1:4" ht="17" x14ac:dyDescent="0.2">
      <c r="A23" s="26"/>
      <c r="B23" s="26"/>
      <c r="C23" s="27"/>
      <c r="D23" s="26" t="s">
        <v>279</v>
      </c>
    </row>
    <row r="24" spans="1:4" ht="17" x14ac:dyDescent="0.2">
      <c r="A24" s="26">
        <v>8</v>
      </c>
      <c r="B24" s="26"/>
      <c r="C24" s="27" t="s">
        <v>7</v>
      </c>
      <c r="D24" s="26"/>
    </row>
    <row r="25" spans="1:4" ht="17" x14ac:dyDescent="0.2">
      <c r="A25" s="26"/>
      <c r="B25" s="26"/>
      <c r="C25" s="27"/>
      <c r="D25" s="26" t="s">
        <v>285</v>
      </c>
    </row>
    <row r="26" spans="1:4" ht="17" x14ac:dyDescent="0.2">
      <c r="A26" s="26"/>
      <c r="B26" s="26"/>
      <c r="C26" s="27"/>
      <c r="D26" s="26" t="s">
        <v>286</v>
      </c>
    </row>
    <row r="27" spans="1:4" ht="17" x14ac:dyDescent="0.2">
      <c r="A27" s="26"/>
      <c r="B27" s="26"/>
      <c r="C27" s="27"/>
      <c r="D27" s="26" t="s">
        <v>287</v>
      </c>
    </row>
    <row r="28" spans="1:4" ht="17" x14ac:dyDescent="0.2">
      <c r="A28" s="26"/>
      <c r="B28" s="26"/>
      <c r="C28" s="27"/>
      <c r="D28" s="26" t="s">
        <v>288</v>
      </c>
    </row>
    <row r="29" spans="1:4" ht="17" x14ac:dyDescent="0.2">
      <c r="A29" s="26">
        <v>9</v>
      </c>
      <c r="B29" s="26"/>
      <c r="C29" s="27" t="s">
        <v>8</v>
      </c>
      <c r="D29" s="26"/>
    </row>
    <row r="30" spans="1:4" ht="17" x14ac:dyDescent="0.2">
      <c r="A30" s="26"/>
      <c r="B30" s="26"/>
      <c r="C30" s="27"/>
      <c r="D30" s="26" t="s">
        <v>285</v>
      </c>
    </row>
    <row r="31" spans="1:4" ht="17" x14ac:dyDescent="0.2">
      <c r="A31" s="26"/>
      <c r="B31" s="26"/>
      <c r="C31" s="27"/>
      <c r="D31" s="26" t="s">
        <v>289</v>
      </c>
    </row>
    <row r="32" spans="1:4" ht="17" x14ac:dyDescent="0.2">
      <c r="A32" s="26">
        <v>10</v>
      </c>
      <c r="B32" s="26"/>
      <c r="C32" s="27" t="s">
        <v>293</v>
      </c>
      <c r="D32" s="26"/>
    </row>
    <row r="33" spans="1:4" ht="17" x14ac:dyDescent="0.2">
      <c r="A33" s="26"/>
      <c r="B33" s="26"/>
      <c r="C33" s="27"/>
      <c r="D33" s="26" t="s">
        <v>283</v>
      </c>
    </row>
    <row r="34" spans="1:4" ht="17" x14ac:dyDescent="0.2">
      <c r="A34" s="26">
        <v>10</v>
      </c>
      <c r="B34" s="26"/>
      <c r="C34" s="27" t="s">
        <v>9</v>
      </c>
      <c r="D34" s="26"/>
    </row>
    <row r="35" spans="1:4" ht="17" x14ac:dyDescent="0.2">
      <c r="A35" s="26"/>
      <c r="B35" s="26"/>
      <c r="C35" s="27"/>
      <c r="D35" s="26" t="s">
        <v>283</v>
      </c>
    </row>
    <row r="36" spans="1:4" ht="17" x14ac:dyDescent="0.2">
      <c r="A36" s="26"/>
      <c r="B36" s="26"/>
      <c r="C36" s="27"/>
      <c r="D36" s="26" t="s">
        <v>294</v>
      </c>
    </row>
    <row r="37" spans="1:4" ht="17" x14ac:dyDescent="0.2">
      <c r="A37" s="26"/>
      <c r="B37" s="26"/>
      <c r="C37" s="27"/>
      <c r="D37" s="26" t="s">
        <v>295</v>
      </c>
    </row>
    <row r="38" spans="1:4" ht="17" x14ac:dyDescent="0.2">
      <c r="A38" s="26">
        <v>11</v>
      </c>
      <c r="B38" s="26"/>
      <c r="C38" s="29" t="s">
        <v>160</v>
      </c>
      <c r="D38" s="26"/>
    </row>
    <row r="39" spans="1:4" ht="17" x14ac:dyDescent="0.2">
      <c r="A39" s="26">
        <v>12</v>
      </c>
      <c r="B39" s="26" t="s">
        <v>280</v>
      </c>
      <c r="C39" s="27"/>
      <c r="D39" s="26" t="s">
        <v>161</v>
      </c>
    </row>
    <row r="40" spans="1:4" ht="17" x14ac:dyDescent="0.2">
      <c r="A40" s="26">
        <v>14</v>
      </c>
      <c r="B40" s="26" t="s">
        <v>297</v>
      </c>
      <c r="C40" s="27"/>
      <c r="D40" s="26" t="s">
        <v>292</v>
      </c>
    </row>
    <row r="41" spans="1:4" ht="17" x14ac:dyDescent="0.2">
      <c r="A41" s="26">
        <v>15</v>
      </c>
      <c r="B41" s="26" t="s">
        <v>296</v>
      </c>
      <c r="C41" s="27"/>
      <c r="D41" s="26" t="s">
        <v>457</v>
      </c>
    </row>
    <row r="42" spans="1:4" ht="17" x14ac:dyDescent="0.2">
      <c r="A42" s="26">
        <v>16</v>
      </c>
      <c r="B42" s="26" t="s">
        <v>298</v>
      </c>
      <c r="C42" s="27"/>
      <c r="D42" s="26" t="s">
        <v>299</v>
      </c>
    </row>
    <row r="43" spans="1:4" ht="17" x14ac:dyDescent="0.2">
      <c r="A43" s="26">
        <v>40</v>
      </c>
      <c r="B43" s="26" t="s">
        <v>301</v>
      </c>
      <c r="C43" s="27"/>
      <c r="D43" s="26" t="s">
        <v>163</v>
      </c>
    </row>
    <row r="44" spans="1:4" ht="17" x14ac:dyDescent="0.2">
      <c r="A44" s="26">
        <v>17</v>
      </c>
      <c r="B44" s="26" t="s">
        <v>300</v>
      </c>
      <c r="C44" s="27"/>
      <c r="D44" s="26" t="s">
        <v>162</v>
      </c>
    </row>
    <row r="45" spans="1:4" ht="17" x14ac:dyDescent="0.2">
      <c r="A45" s="26">
        <v>18</v>
      </c>
      <c r="B45" s="26"/>
      <c r="C45" s="27"/>
      <c r="D45" s="26" t="s">
        <v>164</v>
      </c>
    </row>
    <row r="46" spans="1:4" ht="17" x14ac:dyDescent="0.2">
      <c r="A46" s="26">
        <v>19</v>
      </c>
      <c r="B46" s="26"/>
      <c r="C46" s="27"/>
      <c r="D46" s="26" t="s">
        <v>165</v>
      </c>
    </row>
    <row r="47" spans="1:4" ht="17" x14ac:dyDescent="0.2">
      <c r="A47" s="26">
        <v>20</v>
      </c>
      <c r="B47" s="26"/>
      <c r="C47" s="27"/>
      <c r="D47" s="26" t="s">
        <v>166</v>
      </c>
    </row>
    <row r="48" spans="1:4" ht="17" x14ac:dyDescent="0.2">
      <c r="A48" s="26">
        <v>21</v>
      </c>
      <c r="B48" s="26"/>
      <c r="C48" s="27"/>
      <c r="D48" s="26" t="s">
        <v>169</v>
      </c>
    </row>
    <row r="49" spans="1:4" ht="17" x14ac:dyDescent="0.2">
      <c r="A49" s="26">
        <v>22</v>
      </c>
      <c r="B49" s="26"/>
      <c r="C49" s="27"/>
      <c r="D49" s="26" t="s">
        <v>303</v>
      </c>
    </row>
    <row r="50" spans="1:4" ht="17" x14ac:dyDescent="0.2">
      <c r="A50" s="26">
        <v>23</v>
      </c>
      <c r="B50" s="26"/>
      <c r="C50" s="27"/>
      <c r="D50" s="26" t="s">
        <v>304</v>
      </c>
    </row>
    <row r="51" spans="1:4" ht="17" x14ac:dyDescent="0.2">
      <c r="A51" s="26">
        <v>24</v>
      </c>
      <c r="B51" s="26"/>
      <c r="C51" s="27"/>
      <c r="D51" s="26" t="s">
        <v>305</v>
      </c>
    </row>
    <row r="52" spans="1:4" ht="17" x14ac:dyDescent="0.2">
      <c r="A52" s="26">
        <v>25</v>
      </c>
      <c r="B52" s="26"/>
      <c r="C52" s="27"/>
      <c r="D52" s="26" t="s">
        <v>309</v>
      </c>
    </row>
    <row r="53" spans="1:4" ht="17" x14ac:dyDescent="0.2">
      <c r="A53" s="26">
        <v>26</v>
      </c>
      <c r="B53" s="26"/>
      <c r="C53" s="27"/>
      <c r="D53" s="26" t="s">
        <v>167</v>
      </c>
    </row>
    <row r="54" spans="1:4" ht="17" x14ac:dyDescent="0.2">
      <c r="A54" s="26">
        <v>27</v>
      </c>
      <c r="B54" s="26"/>
      <c r="C54" s="27" t="s">
        <v>302</v>
      </c>
      <c r="D54" s="26" t="s">
        <v>306</v>
      </c>
    </row>
    <row r="55" spans="1:4" ht="17" x14ac:dyDescent="0.2">
      <c r="A55" s="26">
        <v>28</v>
      </c>
      <c r="B55" s="26"/>
      <c r="C55" s="27"/>
      <c r="D55" s="26" t="s">
        <v>308</v>
      </c>
    </row>
    <row r="56" spans="1:4" ht="17" x14ac:dyDescent="0.2">
      <c r="A56" s="26">
        <v>29</v>
      </c>
      <c r="B56" s="26"/>
      <c r="C56" s="27"/>
      <c r="D56" s="26" t="s">
        <v>168</v>
      </c>
    </row>
    <row r="57" spans="1:4" ht="17" x14ac:dyDescent="0.2">
      <c r="A57" s="26">
        <v>30</v>
      </c>
      <c r="B57" s="26"/>
      <c r="C57" s="27"/>
      <c r="D57" s="26" t="s">
        <v>307</v>
      </c>
    </row>
    <row r="58" spans="1:4" ht="17" x14ac:dyDescent="0.2">
      <c r="A58" s="26">
        <v>31</v>
      </c>
      <c r="B58" s="26"/>
      <c r="C58" s="27"/>
      <c r="D58" s="26" t="s">
        <v>170</v>
      </c>
    </row>
    <row r="59" spans="1:4" ht="17" x14ac:dyDescent="0.2">
      <c r="A59" s="26">
        <v>32</v>
      </c>
      <c r="B59" s="26"/>
      <c r="C59" s="27"/>
      <c r="D59" s="26" t="s">
        <v>171</v>
      </c>
    </row>
    <row r="60" spans="1:4" ht="17" x14ac:dyDescent="0.2">
      <c r="A60" s="26">
        <v>33</v>
      </c>
      <c r="B60" s="26"/>
      <c r="C60" s="27"/>
      <c r="D60" s="26" t="s">
        <v>172</v>
      </c>
    </row>
    <row r="61" spans="1:4" ht="17" x14ac:dyDescent="0.2">
      <c r="A61" s="26">
        <v>34</v>
      </c>
      <c r="B61" s="26"/>
      <c r="C61" s="27"/>
      <c r="D61" s="26" t="s">
        <v>173</v>
      </c>
    </row>
    <row r="62" spans="1:4" ht="17" x14ac:dyDescent="0.2">
      <c r="A62" s="26">
        <v>35</v>
      </c>
      <c r="B62" s="26"/>
      <c r="C62" s="27"/>
      <c r="D62" s="26" t="s">
        <v>174</v>
      </c>
    </row>
    <row r="63" spans="1:4" ht="17" x14ac:dyDescent="0.2">
      <c r="A63" s="26">
        <v>42</v>
      </c>
      <c r="B63" s="26"/>
      <c r="C63" s="27" t="s">
        <v>175</v>
      </c>
      <c r="D63" s="26"/>
    </row>
    <row r="64" spans="1:4" ht="17" x14ac:dyDescent="0.2">
      <c r="A64" s="26">
        <v>43</v>
      </c>
      <c r="B64" s="26"/>
      <c r="C64" s="27"/>
      <c r="D64" s="26" t="s">
        <v>176</v>
      </c>
    </row>
    <row r="65" spans="1:4" ht="17" x14ac:dyDescent="0.2">
      <c r="A65" s="26">
        <v>44</v>
      </c>
      <c r="B65" s="26"/>
      <c r="C65" s="27"/>
      <c r="D65" s="26" t="s">
        <v>177</v>
      </c>
    </row>
    <row r="66" spans="1:4" ht="17" x14ac:dyDescent="0.2">
      <c r="A66" s="26">
        <v>45</v>
      </c>
      <c r="B66" s="26"/>
      <c r="C66" s="27"/>
      <c r="D66" s="26" t="s">
        <v>178</v>
      </c>
    </row>
    <row r="67" spans="1:4" ht="17" x14ac:dyDescent="0.2">
      <c r="A67" s="26">
        <v>46</v>
      </c>
      <c r="B67" s="26"/>
      <c r="C67" s="27"/>
      <c r="D67" s="26" t="s">
        <v>179</v>
      </c>
    </row>
    <row r="68" spans="1:4" ht="17" x14ac:dyDescent="0.2">
      <c r="A68" s="26">
        <v>47</v>
      </c>
      <c r="B68" s="26"/>
      <c r="C68" s="27"/>
      <c r="D68" s="26" t="s">
        <v>180</v>
      </c>
    </row>
    <row r="69" spans="1:4" ht="17" x14ac:dyDescent="0.2">
      <c r="A69" s="26">
        <v>48</v>
      </c>
      <c r="B69" s="26"/>
      <c r="C69" s="27"/>
      <c r="D69" s="26" t="s">
        <v>237</v>
      </c>
    </row>
    <row r="70" spans="1:4" ht="17" x14ac:dyDescent="0.2">
      <c r="A70" s="26">
        <v>49</v>
      </c>
      <c r="B70" s="26"/>
      <c r="C70" s="27"/>
      <c r="D70" s="26" t="s">
        <v>181</v>
      </c>
    </row>
    <row r="71" spans="1:4" ht="17" x14ac:dyDescent="0.2">
      <c r="A71" s="26">
        <v>50</v>
      </c>
      <c r="B71" s="26"/>
      <c r="C71" s="27"/>
      <c r="D71" s="26" t="s">
        <v>182</v>
      </c>
    </row>
    <row r="72" spans="1:4" ht="17" x14ac:dyDescent="0.2">
      <c r="A72" s="26">
        <v>51</v>
      </c>
      <c r="B72" s="26"/>
      <c r="C72" s="27"/>
      <c r="D72" s="26" t="s">
        <v>183</v>
      </c>
    </row>
    <row r="73" spans="1:4" ht="17" x14ac:dyDescent="0.2">
      <c r="A73" s="26">
        <v>52</v>
      </c>
      <c r="B73" s="26"/>
      <c r="C73" s="27"/>
      <c r="D73" s="26" t="s">
        <v>184</v>
      </c>
    </row>
    <row r="74" spans="1:4" ht="17" x14ac:dyDescent="0.2">
      <c r="A74" s="26">
        <v>53</v>
      </c>
      <c r="B74" s="26"/>
      <c r="C74" s="27"/>
      <c r="D74" s="26" t="s">
        <v>236</v>
      </c>
    </row>
    <row r="75" spans="1:4" ht="17" x14ac:dyDescent="0.2">
      <c r="A75" s="26">
        <v>54</v>
      </c>
      <c r="B75" s="26"/>
      <c r="C75" s="27"/>
      <c r="D75" s="26" t="s">
        <v>185</v>
      </c>
    </row>
    <row r="76" spans="1:4" ht="17" x14ac:dyDescent="0.2">
      <c r="A76" s="26">
        <v>55</v>
      </c>
      <c r="B76" s="26"/>
      <c r="C76" s="27"/>
      <c r="D76" s="26" t="s">
        <v>186</v>
      </c>
    </row>
    <row r="77" spans="1:4" ht="17" x14ac:dyDescent="0.2">
      <c r="A77" s="26">
        <v>56</v>
      </c>
      <c r="B77" s="26"/>
      <c r="C77" s="27"/>
      <c r="D77" s="26" t="s">
        <v>187</v>
      </c>
    </row>
    <row r="78" spans="1:4" ht="17" x14ac:dyDescent="0.2">
      <c r="A78" s="26">
        <v>57</v>
      </c>
      <c r="B78" s="26"/>
      <c r="C78" s="27"/>
      <c r="D78" s="26" t="s">
        <v>191</v>
      </c>
    </row>
    <row r="79" spans="1:4" ht="17" x14ac:dyDescent="0.2">
      <c r="A79" s="26">
        <v>58</v>
      </c>
      <c r="B79" s="26"/>
      <c r="C79" s="27"/>
      <c r="D79" s="26" t="s">
        <v>188</v>
      </c>
    </row>
    <row r="80" spans="1:4" ht="17" x14ac:dyDescent="0.2">
      <c r="A80" s="26">
        <v>59</v>
      </c>
      <c r="B80" s="26"/>
      <c r="C80" s="27"/>
      <c r="D80" s="26" t="s">
        <v>189</v>
      </c>
    </row>
    <row r="81" spans="1:4" ht="17" x14ac:dyDescent="0.2">
      <c r="A81" s="26">
        <v>60</v>
      </c>
      <c r="B81" s="26"/>
      <c r="C81" s="27"/>
      <c r="D81" s="26" t="s">
        <v>190</v>
      </c>
    </row>
    <row r="82" spans="1:4" ht="17" x14ac:dyDescent="0.2">
      <c r="A82" s="26">
        <v>61</v>
      </c>
      <c r="B82" s="26"/>
      <c r="C82" s="27" t="s">
        <v>192</v>
      </c>
      <c r="D82" s="26"/>
    </row>
    <row r="83" spans="1:4" ht="17" x14ac:dyDescent="0.2">
      <c r="A83" s="26">
        <v>62</v>
      </c>
      <c r="B83" s="26"/>
      <c r="C83" s="27"/>
      <c r="D83" s="26" t="s">
        <v>193</v>
      </c>
    </row>
    <row r="84" spans="1:4" ht="17" x14ac:dyDescent="0.2">
      <c r="A84" s="26">
        <v>63</v>
      </c>
      <c r="B84" s="26"/>
      <c r="C84" s="27"/>
      <c r="D84" s="26" t="s">
        <v>194</v>
      </c>
    </row>
    <row r="85" spans="1:4" ht="17" x14ac:dyDescent="0.2">
      <c r="A85" s="26">
        <v>64</v>
      </c>
      <c r="B85" s="26"/>
      <c r="C85" s="27"/>
      <c r="D85" s="26" t="s">
        <v>195</v>
      </c>
    </row>
    <row r="86" spans="1:4" ht="17" x14ac:dyDescent="0.2">
      <c r="A86" s="26">
        <v>65</v>
      </c>
      <c r="B86" s="26"/>
      <c r="C86" s="27"/>
      <c r="D86" s="26" t="s">
        <v>196</v>
      </c>
    </row>
    <row r="87" spans="1:4" ht="17" x14ac:dyDescent="0.2">
      <c r="A87" s="26">
        <v>66</v>
      </c>
      <c r="B87" s="26"/>
      <c r="C87" s="27"/>
      <c r="D87" s="26" t="s">
        <v>197</v>
      </c>
    </row>
    <row r="88" spans="1:4" ht="17" x14ac:dyDescent="0.2">
      <c r="A88" s="26">
        <v>67</v>
      </c>
      <c r="B88" s="26"/>
      <c r="C88" s="27"/>
      <c r="D88" s="26" t="s">
        <v>198</v>
      </c>
    </row>
    <row r="89" spans="1:4" ht="17" x14ac:dyDescent="0.2">
      <c r="A89" s="26">
        <v>68</v>
      </c>
      <c r="B89" s="26"/>
      <c r="C89" s="27"/>
      <c r="D89" s="26" t="s">
        <v>199</v>
      </c>
    </row>
    <row r="90" spans="1:4" ht="17" x14ac:dyDescent="0.2">
      <c r="A90" s="26">
        <v>69</v>
      </c>
      <c r="B90" s="26"/>
      <c r="C90" s="27"/>
      <c r="D90" s="26" t="s">
        <v>200</v>
      </c>
    </row>
    <row r="91" spans="1:4" ht="17" x14ac:dyDescent="0.2">
      <c r="A91" s="26">
        <v>70</v>
      </c>
      <c r="B91" s="26"/>
      <c r="C91" s="27"/>
      <c r="D91" s="26" t="s">
        <v>201</v>
      </c>
    </row>
    <row r="92" spans="1:4" ht="17" x14ac:dyDescent="0.2">
      <c r="A92" s="26">
        <v>71</v>
      </c>
      <c r="B92" s="26"/>
      <c r="C92" s="27"/>
      <c r="D92" s="26" t="s">
        <v>202</v>
      </c>
    </row>
    <row r="93" spans="1:4" ht="17" x14ac:dyDescent="0.2">
      <c r="A93" s="26">
        <v>72</v>
      </c>
      <c r="B93" s="26"/>
      <c r="C93" s="27"/>
      <c r="D93" s="26" t="s">
        <v>203</v>
      </c>
    </row>
    <row r="94" spans="1:4" ht="17" x14ac:dyDescent="0.2">
      <c r="A94" s="26">
        <v>73</v>
      </c>
      <c r="B94" s="26"/>
      <c r="C94" s="27"/>
      <c r="D94" s="26" t="s">
        <v>204</v>
      </c>
    </row>
    <row r="95" spans="1:4" ht="17" x14ac:dyDescent="0.2">
      <c r="A95" s="26">
        <v>74</v>
      </c>
      <c r="B95" s="26"/>
      <c r="C95" s="27"/>
      <c r="D95" s="26" t="s">
        <v>235</v>
      </c>
    </row>
    <row r="96" spans="1:4" ht="17" x14ac:dyDescent="0.2">
      <c r="A96" s="26">
        <v>75</v>
      </c>
      <c r="B96" s="26"/>
      <c r="C96" s="27"/>
      <c r="D96" s="26" t="s">
        <v>205</v>
      </c>
    </row>
    <row r="97" spans="1:4" ht="17" x14ac:dyDescent="0.2">
      <c r="A97" s="26">
        <v>76</v>
      </c>
      <c r="B97" s="26"/>
      <c r="C97" s="27"/>
      <c r="D97" s="26" t="s">
        <v>206</v>
      </c>
    </row>
    <row r="98" spans="1:4" ht="17" x14ac:dyDescent="0.2">
      <c r="A98" s="26">
        <v>77</v>
      </c>
      <c r="B98" s="26"/>
      <c r="C98" s="27"/>
      <c r="D98" s="26" t="s">
        <v>207</v>
      </c>
    </row>
    <row r="99" spans="1:4" ht="17" x14ac:dyDescent="0.2">
      <c r="A99" s="26">
        <v>78</v>
      </c>
      <c r="B99" s="26"/>
      <c r="C99" s="27"/>
      <c r="D99" s="26" t="s">
        <v>208</v>
      </c>
    </row>
    <row r="100" spans="1:4" ht="17" x14ac:dyDescent="0.2">
      <c r="A100" s="26">
        <v>79</v>
      </c>
      <c r="B100" s="26"/>
      <c r="C100" s="27"/>
      <c r="D100" s="26" t="s">
        <v>209</v>
      </c>
    </row>
    <row r="101" spans="1:4" ht="17" x14ac:dyDescent="0.2">
      <c r="A101" s="26">
        <v>80</v>
      </c>
      <c r="B101" s="26"/>
      <c r="C101" s="27"/>
      <c r="D101" s="26" t="s">
        <v>210</v>
      </c>
    </row>
    <row r="102" spans="1:4" ht="17" x14ac:dyDescent="0.2">
      <c r="A102" s="26">
        <v>81</v>
      </c>
      <c r="B102" s="26"/>
      <c r="C102" s="27"/>
      <c r="D102" s="26" t="s">
        <v>211</v>
      </c>
    </row>
    <row r="103" spans="1:4" ht="17" x14ac:dyDescent="0.2">
      <c r="A103" s="26">
        <v>82</v>
      </c>
      <c r="B103" s="26"/>
      <c r="C103" s="27"/>
      <c r="D103" s="26" t="s">
        <v>212</v>
      </c>
    </row>
    <row r="104" spans="1:4" ht="17" x14ac:dyDescent="0.2">
      <c r="A104" s="26">
        <v>83</v>
      </c>
      <c r="B104" s="26"/>
      <c r="C104" s="27"/>
      <c r="D104" s="26" t="s">
        <v>213</v>
      </c>
    </row>
    <row r="105" spans="1:4" ht="17" x14ac:dyDescent="0.2">
      <c r="A105" s="26">
        <v>84</v>
      </c>
      <c r="B105" s="26"/>
      <c r="C105" s="27"/>
      <c r="D105" s="26" t="s">
        <v>214</v>
      </c>
    </row>
    <row r="106" spans="1:4" ht="17" x14ac:dyDescent="0.2">
      <c r="A106" s="26">
        <v>85</v>
      </c>
      <c r="B106" s="26"/>
      <c r="C106" s="27"/>
      <c r="D106" s="26" t="s">
        <v>215</v>
      </c>
    </row>
    <row r="107" spans="1:4" ht="17" x14ac:dyDescent="0.2">
      <c r="A107" s="26">
        <v>86</v>
      </c>
      <c r="B107" s="26"/>
      <c r="C107" s="27"/>
      <c r="D107" s="26" t="s">
        <v>216</v>
      </c>
    </row>
    <row r="108" spans="1:4" ht="17" x14ac:dyDescent="0.2">
      <c r="A108" s="26">
        <v>87</v>
      </c>
      <c r="B108" s="26"/>
      <c r="C108" s="27"/>
      <c r="D108" s="26" t="s">
        <v>217</v>
      </c>
    </row>
    <row r="109" spans="1:4" ht="17" x14ac:dyDescent="0.2">
      <c r="A109" s="26">
        <v>88</v>
      </c>
      <c r="B109" s="26"/>
      <c r="C109" s="27"/>
      <c r="D109" s="26" t="s">
        <v>218</v>
      </c>
    </row>
    <row r="110" spans="1:4" ht="17" x14ac:dyDescent="0.2">
      <c r="A110" s="26">
        <v>89</v>
      </c>
      <c r="B110" s="26"/>
      <c r="C110" s="27"/>
      <c r="D110" s="26" t="s">
        <v>219</v>
      </c>
    </row>
    <row r="111" spans="1:4" ht="17" x14ac:dyDescent="0.2">
      <c r="A111" s="26">
        <v>90</v>
      </c>
      <c r="B111" s="26"/>
      <c r="C111" s="27"/>
      <c r="D111" s="26" t="s">
        <v>220</v>
      </c>
    </row>
    <row r="112" spans="1:4" ht="17" x14ac:dyDescent="0.2">
      <c r="A112" s="26">
        <v>91</v>
      </c>
      <c r="B112" s="26"/>
      <c r="C112" s="27"/>
      <c r="D112" s="26" t="s">
        <v>221</v>
      </c>
    </row>
    <row r="113" spans="1:4" ht="17" x14ac:dyDescent="0.2">
      <c r="A113" s="26">
        <v>92</v>
      </c>
      <c r="B113" s="26"/>
      <c r="C113" s="27"/>
      <c r="D113" s="26" t="s">
        <v>222</v>
      </c>
    </row>
    <row r="114" spans="1:4" ht="17" x14ac:dyDescent="0.2">
      <c r="A114" s="26">
        <v>93</v>
      </c>
      <c r="B114" s="26"/>
      <c r="C114" s="27"/>
      <c r="D114" s="26" t="s">
        <v>223</v>
      </c>
    </row>
    <row r="115" spans="1:4" ht="17" x14ac:dyDescent="0.2">
      <c r="A115" s="26">
        <v>94</v>
      </c>
      <c r="B115" s="26"/>
      <c r="C115" s="27"/>
      <c r="D115" s="26" t="s">
        <v>224</v>
      </c>
    </row>
    <row r="116" spans="1:4" ht="17" x14ac:dyDescent="0.2">
      <c r="A116" s="26">
        <v>95</v>
      </c>
      <c r="B116" s="26"/>
      <c r="C116" s="27"/>
      <c r="D116" s="26" t="s">
        <v>225</v>
      </c>
    </row>
    <row r="117" spans="1:4" ht="17" x14ac:dyDescent="0.2">
      <c r="A117" s="26">
        <v>96</v>
      </c>
      <c r="B117" s="26"/>
      <c r="C117" s="27"/>
      <c r="D117" s="26" t="s">
        <v>226</v>
      </c>
    </row>
    <row r="118" spans="1:4" ht="17" x14ac:dyDescent="0.2">
      <c r="A118" s="26">
        <v>97</v>
      </c>
      <c r="B118" s="26"/>
      <c r="C118" s="27"/>
      <c r="D118" s="26" t="s">
        <v>227</v>
      </c>
    </row>
    <row r="119" spans="1:4" ht="17" x14ac:dyDescent="0.2">
      <c r="A119" s="26">
        <v>98</v>
      </c>
      <c r="B119" s="26"/>
      <c r="C119" s="27"/>
      <c r="D119" s="26" t="s">
        <v>228</v>
      </c>
    </row>
    <row r="120" spans="1:4" ht="17" x14ac:dyDescent="0.2">
      <c r="A120" s="26">
        <v>99</v>
      </c>
      <c r="B120" s="26"/>
      <c r="C120" s="27"/>
      <c r="D120" s="26" t="s">
        <v>229</v>
      </c>
    </row>
    <row r="121" spans="1:4" ht="17" x14ac:dyDescent="0.2">
      <c r="A121" s="26">
        <v>100</v>
      </c>
      <c r="B121" s="26"/>
      <c r="C121" s="27"/>
      <c r="D121" s="26" t="s">
        <v>230</v>
      </c>
    </row>
    <row r="122" spans="1:4" ht="17" x14ac:dyDescent="0.2">
      <c r="A122" s="26">
        <v>101</v>
      </c>
      <c r="B122" s="26"/>
      <c r="C122" s="27"/>
      <c r="D122" s="26" t="s">
        <v>231</v>
      </c>
    </row>
    <row r="123" spans="1:4" ht="17" x14ac:dyDescent="0.2">
      <c r="A123" s="26">
        <v>102</v>
      </c>
      <c r="B123" s="26"/>
      <c r="C123" s="27"/>
      <c r="D123" s="26" t="s">
        <v>232</v>
      </c>
    </row>
    <row r="124" spans="1:4" ht="17" x14ac:dyDescent="0.2">
      <c r="A124" s="26">
        <v>103</v>
      </c>
      <c r="B124" s="26"/>
      <c r="C124" s="27"/>
      <c r="D124" s="26" t="s">
        <v>233</v>
      </c>
    </row>
    <row r="125" spans="1:4" ht="17" x14ac:dyDescent="0.2">
      <c r="A125" s="26">
        <v>104</v>
      </c>
      <c r="B125" s="26"/>
      <c r="C125" s="27"/>
      <c r="D125" s="26" t="s">
        <v>234</v>
      </c>
    </row>
    <row r="126" spans="1:4" ht="17" x14ac:dyDescent="0.2">
      <c r="A126" s="26">
        <v>105</v>
      </c>
      <c r="B126" s="26"/>
      <c r="C126" s="27" t="s">
        <v>10</v>
      </c>
      <c r="D126" s="26"/>
    </row>
    <row r="127" spans="1:4" ht="17" x14ac:dyDescent="0.2">
      <c r="A127" s="26"/>
      <c r="B127" s="26"/>
      <c r="C127" s="27"/>
      <c r="D127" s="28" t="s">
        <v>285</v>
      </c>
    </row>
    <row r="128" spans="1:4" ht="17" x14ac:dyDescent="0.2">
      <c r="A128" s="26">
        <v>106</v>
      </c>
      <c r="B128" s="26"/>
      <c r="C128" s="27" t="s">
        <v>11</v>
      </c>
      <c r="D128" s="26"/>
    </row>
    <row r="129" spans="1:4" ht="17" x14ac:dyDescent="0.2">
      <c r="A129" s="26"/>
      <c r="B129" s="26"/>
      <c r="C129" s="27"/>
      <c r="D129" s="28" t="s">
        <v>285</v>
      </c>
    </row>
    <row r="130" spans="1:4" ht="17" x14ac:dyDescent="0.2">
      <c r="A130" s="26">
        <v>107</v>
      </c>
      <c r="B130" s="26" t="s">
        <v>84</v>
      </c>
      <c r="C130" s="27" t="s">
        <v>445</v>
      </c>
      <c r="D130" s="26"/>
    </row>
    <row r="131" spans="1:4" ht="17" x14ac:dyDescent="0.2">
      <c r="A131" s="26"/>
      <c r="B131" s="26"/>
      <c r="C131" s="27"/>
      <c r="D131" s="28" t="s">
        <v>285</v>
      </c>
    </row>
    <row r="132" spans="1:4" ht="17" x14ac:dyDescent="0.2">
      <c r="A132" s="26"/>
      <c r="B132" s="26"/>
      <c r="C132" s="27"/>
      <c r="D132" s="28" t="s">
        <v>290</v>
      </c>
    </row>
    <row r="133" spans="1:4" ht="17" x14ac:dyDescent="0.2">
      <c r="A133" s="26">
        <v>108</v>
      </c>
      <c r="B133" s="26" t="s">
        <v>86</v>
      </c>
      <c r="C133" s="27" t="s">
        <v>85</v>
      </c>
      <c r="D133" s="26"/>
    </row>
    <row r="134" spans="1:4" ht="17" x14ac:dyDescent="0.2">
      <c r="A134" s="26"/>
      <c r="B134" s="26"/>
      <c r="C134" s="27"/>
      <c r="D134" s="28" t="s">
        <v>285</v>
      </c>
    </row>
    <row r="135" spans="1:4" ht="17" x14ac:dyDescent="0.2">
      <c r="A135" s="26">
        <v>109</v>
      </c>
      <c r="B135" s="26" t="s">
        <v>92</v>
      </c>
      <c r="C135" s="27" t="s">
        <v>446</v>
      </c>
      <c r="D135" s="26"/>
    </row>
    <row r="136" spans="1:4" ht="17" x14ac:dyDescent="0.2">
      <c r="A136" s="26"/>
      <c r="B136" s="26"/>
      <c r="C136" s="27"/>
      <c r="D136" s="28" t="s">
        <v>285</v>
      </c>
    </row>
    <row r="137" spans="1:4" ht="17" x14ac:dyDescent="0.2">
      <c r="A137" s="26"/>
      <c r="B137" s="26"/>
      <c r="C137" s="27"/>
      <c r="D137" s="28" t="s">
        <v>290</v>
      </c>
    </row>
    <row r="138" spans="1:4" ht="17" x14ac:dyDescent="0.2">
      <c r="A138" s="26">
        <v>110</v>
      </c>
      <c r="B138" s="26"/>
      <c r="C138" s="27" t="s">
        <v>12</v>
      </c>
      <c r="D138" s="26"/>
    </row>
    <row r="139" spans="1:4" ht="17" x14ac:dyDescent="0.2">
      <c r="A139" s="26"/>
      <c r="B139" s="26"/>
      <c r="C139" s="27"/>
      <c r="D139" s="28" t="s">
        <v>285</v>
      </c>
    </row>
    <row r="140" spans="1:4" ht="17" x14ac:dyDescent="0.2">
      <c r="A140" s="26"/>
      <c r="B140" s="26"/>
      <c r="C140" s="27"/>
      <c r="D140" s="28" t="s">
        <v>290</v>
      </c>
    </row>
    <row r="141" spans="1:4" ht="17" x14ac:dyDescent="0.2">
      <c r="A141" s="26">
        <v>111</v>
      </c>
      <c r="B141" s="26" t="s">
        <v>88</v>
      </c>
      <c r="C141" s="27" t="s">
        <v>87</v>
      </c>
      <c r="D141" s="26"/>
    </row>
    <row r="142" spans="1:4" ht="17" x14ac:dyDescent="0.2">
      <c r="A142" s="26"/>
      <c r="B142" s="26"/>
      <c r="C142" s="27"/>
      <c r="D142" s="28" t="s">
        <v>285</v>
      </c>
    </row>
    <row r="143" spans="1:4" ht="17" x14ac:dyDescent="0.2">
      <c r="A143" s="26"/>
      <c r="B143" s="26"/>
      <c r="C143" s="27"/>
      <c r="D143" s="28" t="s">
        <v>290</v>
      </c>
    </row>
    <row r="144" spans="1:4" ht="17" x14ac:dyDescent="0.2">
      <c r="A144" s="26">
        <v>112</v>
      </c>
      <c r="B144" s="26" t="s">
        <v>90</v>
      </c>
      <c r="C144" s="27" t="s">
        <v>89</v>
      </c>
      <c r="D144" s="26"/>
    </row>
    <row r="145" spans="1:4" ht="17" x14ac:dyDescent="0.2">
      <c r="A145" s="26"/>
      <c r="B145" s="26"/>
      <c r="C145" s="27"/>
      <c r="D145" s="28" t="s">
        <v>290</v>
      </c>
    </row>
    <row r="146" spans="1:4" ht="17" x14ac:dyDescent="0.2">
      <c r="A146" s="26">
        <v>113</v>
      </c>
      <c r="B146" s="26" t="s">
        <v>94</v>
      </c>
      <c r="C146" s="27" t="s">
        <v>447</v>
      </c>
      <c r="D146" s="26"/>
    </row>
    <row r="147" spans="1:4" ht="17" x14ac:dyDescent="0.2">
      <c r="A147" s="26"/>
      <c r="B147" s="26"/>
      <c r="C147" s="27"/>
      <c r="D147" s="28" t="s">
        <v>285</v>
      </c>
    </row>
    <row r="148" spans="1:4" ht="17" x14ac:dyDescent="0.2">
      <c r="A148" s="26"/>
      <c r="B148" s="26"/>
      <c r="C148" s="27"/>
      <c r="D148" s="28" t="s">
        <v>290</v>
      </c>
    </row>
    <row r="149" spans="1:4" ht="17" x14ac:dyDescent="0.2">
      <c r="A149" s="26">
        <v>114</v>
      </c>
      <c r="B149" s="26" t="s">
        <v>96</v>
      </c>
      <c r="C149" s="27" t="s">
        <v>95</v>
      </c>
      <c r="D149" s="26"/>
    </row>
    <row r="150" spans="1:4" ht="17" x14ac:dyDescent="0.2">
      <c r="A150" s="26"/>
      <c r="B150" s="26"/>
      <c r="C150" s="27"/>
      <c r="D150" s="28" t="s">
        <v>285</v>
      </c>
    </row>
    <row r="151" spans="1:4" ht="17" x14ac:dyDescent="0.2">
      <c r="A151" s="26"/>
      <c r="B151" s="26"/>
      <c r="C151" s="27"/>
      <c r="D151" s="28" t="s">
        <v>290</v>
      </c>
    </row>
    <row r="152" spans="1:4" ht="17" x14ac:dyDescent="0.2">
      <c r="A152" s="26">
        <v>115</v>
      </c>
      <c r="B152" s="26" t="s">
        <v>98</v>
      </c>
      <c r="C152" s="27" t="s">
        <v>448</v>
      </c>
      <c r="D152" s="26"/>
    </row>
    <row r="153" spans="1:4" ht="17" x14ac:dyDescent="0.2">
      <c r="A153" s="26"/>
      <c r="B153" s="26"/>
      <c r="C153" s="27"/>
      <c r="D153" s="28" t="s">
        <v>285</v>
      </c>
    </row>
    <row r="154" spans="1:4" ht="17" x14ac:dyDescent="0.2">
      <c r="A154" s="26"/>
      <c r="B154" s="26"/>
      <c r="C154" s="27"/>
      <c r="D154" s="28" t="s">
        <v>290</v>
      </c>
    </row>
    <row r="155" spans="1:4" ht="17" x14ac:dyDescent="0.2">
      <c r="A155" s="26">
        <v>116</v>
      </c>
      <c r="B155" s="26" t="s">
        <v>100</v>
      </c>
      <c r="C155" s="27" t="s">
        <v>99</v>
      </c>
      <c r="D155" s="26"/>
    </row>
    <row r="156" spans="1:4" ht="17" x14ac:dyDescent="0.2">
      <c r="A156" s="26"/>
      <c r="B156" s="26"/>
      <c r="C156" s="27"/>
      <c r="D156" s="28" t="s">
        <v>285</v>
      </c>
    </row>
    <row r="157" spans="1:4" ht="17" x14ac:dyDescent="0.2">
      <c r="A157" s="26"/>
      <c r="B157" s="26"/>
      <c r="C157" s="27"/>
      <c r="D157" s="28" t="s">
        <v>290</v>
      </c>
    </row>
    <row r="158" spans="1:4" ht="17" x14ac:dyDescent="0.2">
      <c r="A158" s="26">
        <v>117</v>
      </c>
      <c r="B158" s="26"/>
      <c r="C158" s="27" t="s">
        <v>101</v>
      </c>
      <c r="D158" s="26"/>
    </row>
    <row r="159" spans="1:4" ht="17" x14ac:dyDescent="0.2">
      <c r="A159" s="26"/>
      <c r="B159" s="26"/>
      <c r="C159" s="27"/>
      <c r="D159" s="28" t="s">
        <v>285</v>
      </c>
    </row>
    <row r="160" spans="1:4" ht="17" x14ac:dyDescent="0.2">
      <c r="A160" s="26"/>
      <c r="B160" s="26"/>
      <c r="C160" s="27"/>
      <c r="D160" s="28" t="s">
        <v>290</v>
      </c>
    </row>
    <row r="161" spans="1:4" ht="17" x14ac:dyDescent="0.2">
      <c r="A161" s="26">
        <v>118</v>
      </c>
      <c r="B161" s="26"/>
      <c r="C161" s="27" t="s">
        <v>13</v>
      </c>
      <c r="D161" s="26"/>
    </row>
    <row r="162" spans="1:4" ht="17" x14ac:dyDescent="0.2">
      <c r="A162" s="26"/>
      <c r="B162" s="26"/>
      <c r="C162" s="27"/>
      <c r="D162" s="28" t="s">
        <v>285</v>
      </c>
    </row>
    <row r="163" spans="1:4" ht="17" x14ac:dyDescent="0.2">
      <c r="A163" s="26"/>
      <c r="B163" s="26"/>
      <c r="C163" s="27"/>
      <c r="D163" s="28" t="s">
        <v>290</v>
      </c>
    </row>
    <row r="164" spans="1:4" ht="17" x14ac:dyDescent="0.2">
      <c r="A164" s="26">
        <v>119</v>
      </c>
      <c r="B164" s="26"/>
      <c r="C164" s="27" t="s">
        <v>14</v>
      </c>
      <c r="D164" s="26"/>
    </row>
    <row r="165" spans="1:4" ht="17" x14ac:dyDescent="0.2">
      <c r="A165" s="26"/>
      <c r="B165" s="26"/>
      <c r="C165" s="27"/>
      <c r="D165" s="28" t="s">
        <v>290</v>
      </c>
    </row>
    <row r="166" spans="1:4" ht="17" x14ac:dyDescent="0.2">
      <c r="A166" s="26">
        <v>120</v>
      </c>
      <c r="B166" s="26" t="s">
        <v>84</v>
      </c>
      <c r="C166" s="27" t="s">
        <v>449</v>
      </c>
      <c r="D166" s="26"/>
    </row>
    <row r="167" spans="1:4" ht="17" x14ac:dyDescent="0.2">
      <c r="A167" s="26"/>
      <c r="B167" s="26"/>
      <c r="C167" s="27"/>
      <c r="D167" s="28" t="s">
        <v>285</v>
      </c>
    </row>
    <row r="168" spans="1:4" ht="17" x14ac:dyDescent="0.2">
      <c r="A168" s="26"/>
      <c r="B168" s="26"/>
      <c r="C168" s="27"/>
      <c r="D168" s="28" t="s">
        <v>290</v>
      </c>
    </row>
    <row r="169" spans="1:4" ht="17" x14ac:dyDescent="0.2">
      <c r="A169" s="26">
        <v>121</v>
      </c>
      <c r="B169" s="26" t="s">
        <v>104</v>
      </c>
      <c r="C169" s="27" t="s">
        <v>103</v>
      </c>
      <c r="D169" s="26"/>
    </row>
    <row r="170" spans="1:4" ht="17" x14ac:dyDescent="0.2">
      <c r="A170" s="26"/>
      <c r="B170" s="26"/>
      <c r="C170" s="27"/>
      <c r="D170" s="28" t="s">
        <v>285</v>
      </c>
    </row>
    <row r="171" spans="1:4" ht="17" x14ac:dyDescent="0.2">
      <c r="A171" s="26"/>
      <c r="B171" s="26"/>
      <c r="C171" s="27"/>
      <c r="D171" s="28" t="s">
        <v>290</v>
      </c>
    </row>
    <row r="172" spans="1:4" ht="17" x14ac:dyDescent="0.2">
      <c r="A172" s="26">
        <v>122</v>
      </c>
      <c r="B172" s="26" t="s">
        <v>106</v>
      </c>
      <c r="C172" s="27" t="s">
        <v>450</v>
      </c>
      <c r="D172" s="26"/>
    </row>
    <row r="173" spans="1:4" ht="17" x14ac:dyDescent="0.2">
      <c r="A173" s="26"/>
      <c r="B173" s="26"/>
      <c r="C173" s="27"/>
      <c r="D173" s="28" t="s">
        <v>285</v>
      </c>
    </row>
    <row r="174" spans="1:4" ht="17" x14ac:dyDescent="0.2">
      <c r="A174" s="26"/>
      <c r="B174" s="26"/>
      <c r="C174" s="27"/>
      <c r="D174" s="28" t="s">
        <v>290</v>
      </c>
    </row>
    <row r="175" spans="1:4" ht="17" x14ac:dyDescent="0.2">
      <c r="A175" s="26">
        <v>123</v>
      </c>
      <c r="B175" s="26"/>
      <c r="C175" s="27" t="s">
        <v>15</v>
      </c>
      <c r="D175" s="26"/>
    </row>
    <row r="176" spans="1:4" ht="17" x14ac:dyDescent="0.2">
      <c r="A176" s="26"/>
      <c r="B176" s="26"/>
      <c r="C176" s="27"/>
      <c r="D176" s="28" t="s">
        <v>285</v>
      </c>
    </row>
    <row r="177" spans="1:4" ht="17" x14ac:dyDescent="0.2">
      <c r="A177" s="26"/>
      <c r="B177" s="26"/>
      <c r="C177" s="27"/>
      <c r="D177" s="28" t="s">
        <v>290</v>
      </c>
    </row>
    <row r="178" spans="1:4" ht="17" x14ac:dyDescent="0.2">
      <c r="A178" s="26">
        <v>124</v>
      </c>
      <c r="B178" s="26" t="s">
        <v>108</v>
      </c>
      <c r="C178" s="27" t="s">
        <v>107</v>
      </c>
      <c r="D178" s="26"/>
    </row>
    <row r="179" spans="1:4" ht="17" x14ac:dyDescent="0.2">
      <c r="A179" s="26"/>
      <c r="B179" s="26"/>
      <c r="C179" s="27"/>
      <c r="D179" s="28" t="s">
        <v>285</v>
      </c>
    </row>
    <row r="180" spans="1:4" ht="17" x14ac:dyDescent="0.2">
      <c r="A180" s="26"/>
      <c r="B180" s="26"/>
      <c r="C180" s="27"/>
      <c r="D180" s="28" t="s">
        <v>290</v>
      </c>
    </row>
    <row r="181" spans="1:4" ht="17" x14ac:dyDescent="0.2">
      <c r="A181" s="26">
        <v>125</v>
      </c>
      <c r="B181" s="26"/>
      <c r="C181" s="27" t="s">
        <v>109</v>
      </c>
      <c r="D181" s="26"/>
    </row>
    <row r="182" spans="1:4" ht="17" x14ac:dyDescent="0.2">
      <c r="A182" s="26"/>
      <c r="B182" s="26"/>
      <c r="C182" s="27"/>
      <c r="D182" s="28" t="s">
        <v>290</v>
      </c>
    </row>
    <row r="183" spans="1:4" ht="17" x14ac:dyDescent="0.2">
      <c r="A183" s="26">
        <v>126</v>
      </c>
      <c r="B183" s="26" t="s">
        <v>94</v>
      </c>
      <c r="C183" s="27" t="s">
        <v>451</v>
      </c>
      <c r="D183" s="26"/>
    </row>
    <row r="184" spans="1:4" ht="17" x14ac:dyDescent="0.2">
      <c r="A184" s="26"/>
      <c r="B184" s="26"/>
      <c r="C184" s="27"/>
      <c r="D184" s="28" t="s">
        <v>285</v>
      </c>
    </row>
    <row r="185" spans="1:4" ht="17" x14ac:dyDescent="0.2">
      <c r="A185" s="26"/>
      <c r="B185" s="26"/>
      <c r="C185" s="27"/>
      <c r="D185" s="28" t="s">
        <v>290</v>
      </c>
    </row>
    <row r="186" spans="1:4" ht="17" x14ac:dyDescent="0.2">
      <c r="A186" s="26">
        <v>127</v>
      </c>
      <c r="B186" s="26" t="s">
        <v>96</v>
      </c>
      <c r="C186" s="27" t="s">
        <v>111</v>
      </c>
      <c r="D186" s="26"/>
    </row>
    <row r="187" spans="1:4" ht="17" x14ac:dyDescent="0.2">
      <c r="A187" s="26"/>
      <c r="B187" s="26"/>
      <c r="C187" s="27"/>
      <c r="D187" s="28" t="s">
        <v>285</v>
      </c>
    </row>
    <row r="188" spans="1:4" ht="17" x14ac:dyDescent="0.2">
      <c r="A188" s="26"/>
      <c r="B188" s="26"/>
      <c r="C188" s="27"/>
      <c r="D188" s="28" t="s">
        <v>290</v>
      </c>
    </row>
    <row r="189" spans="1:4" ht="17" x14ac:dyDescent="0.2">
      <c r="A189" s="26">
        <v>128</v>
      </c>
      <c r="B189" s="26"/>
      <c r="C189" s="27" t="s">
        <v>16</v>
      </c>
      <c r="D189" s="26"/>
    </row>
    <row r="190" spans="1:4" ht="17" x14ac:dyDescent="0.2">
      <c r="A190" s="26"/>
      <c r="B190" s="26"/>
      <c r="C190" s="27"/>
      <c r="D190" s="28" t="s">
        <v>290</v>
      </c>
    </row>
    <row r="191" spans="1:4" ht="17" x14ac:dyDescent="0.2">
      <c r="A191" s="26">
        <v>129</v>
      </c>
      <c r="B191" s="26" t="s">
        <v>113</v>
      </c>
      <c r="C191" s="27" t="s">
        <v>452</v>
      </c>
      <c r="D191" s="26"/>
    </row>
    <row r="192" spans="1:4" ht="17" x14ac:dyDescent="0.2">
      <c r="A192" s="26"/>
      <c r="B192" s="26"/>
      <c r="C192" s="27"/>
      <c r="D192" s="28" t="s">
        <v>285</v>
      </c>
    </row>
    <row r="193" spans="1:4" ht="17" x14ac:dyDescent="0.2">
      <c r="A193" s="26"/>
      <c r="B193" s="26"/>
      <c r="C193" s="27"/>
      <c r="D193" s="28" t="s">
        <v>290</v>
      </c>
    </row>
    <row r="194" spans="1:4" ht="17" x14ac:dyDescent="0.2">
      <c r="A194" s="26">
        <v>130</v>
      </c>
      <c r="B194" s="26" t="s">
        <v>100</v>
      </c>
      <c r="C194" s="27" t="s">
        <v>114</v>
      </c>
      <c r="D194" s="26"/>
    </row>
    <row r="195" spans="1:4" ht="17" x14ac:dyDescent="0.2">
      <c r="A195" s="26"/>
      <c r="B195" s="26"/>
      <c r="C195" s="27"/>
      <c r="D195" s="28" t="s">
        <v>285</v>
      </c>
    </row>
    <row r="196" spans="1:4" ht="17" x14ac:dyDescent="0.2">
      <c r="A196" s="26"/>
      <c r="B196" s="26"/>
      <c r="C196" s="27"/>
      <c r="D196" s="28" t="s">
        <v>290</v>
      </c>
    </row>
    <row r="197" spans="1:4" ht="17" x14ac:dyDescent="0.2">
      <c r="A197" s="26">
        <v>131</v>
      </c>
      <c r="B197" s="26"/>
      <c r="C197" s="27" t="s">
        <v>17</v>
      </c>
      <c r="D197" s="26"/>
    </row>
    <row r="198" spans="1:4" ht="17" x14ac:dyDescent="0.2">
      <c r="A198" s="26"/>
      <c r="B198" s="26"/>
      <c r="C198" s="27"/>
      <c r="D198" s="28" t="s">
        <v>290</v>
      </c>
    </row>
    <row r="199" spans="1:4" ht="17" x14ac:dyDescent="0.2">
      <c r="A199" s="26">
        <v>132</v>
      </c>
      <c r="B199" s="26" t="s">
        <v>116</v>
      </c>
      <c r="C199" s="27" t="s">
        <v>115</v>
      </c>
      <c r="D199" s="26"/>
    </row>
    <row r="200" spans="1:4" ht="17" x14ac:dyDescent="0.2">
      <c r="A200" s="26"/>
      <c r="B200" s="26"/>
      <c r="C200" s="27"/>
      <c r="D200" s="28" t="s">
        <v>285</v>
      </c>
    </row>
    <row r="201" spans="1:4" ht="17" x14ac:dyDescent="0.2">
      <c r="A201" s="26"/>
      <c r="B201" s="26"/>
      <c r="C201" s="27"/>
      <c r="D201" s="28" t="s">
        <v>290</v>
      </c>
    </row>
    <row r="202" spans="1:4" ht="17" x14ac:dyDescent="0.2">
      <c r="A202" s="26">
        <v>133</v>
      </c>
      <c r="B202" s="26"/>
      <c r="C202" s="27" t="s">
        <v>18</v>
      </c>
      <c r="D202" s="26"/>
    </row>
    <row r="203" spans="1:4" ht="17" x14ac:dyDescent="0.2">
      <c r="A203" s="26"/>
      <c r="B203" s="26"/>
      <c r="C203" s="27"/>
      <c r="D203" s="28" t="s">
        <v>290</v>
      </c>
    </row>
    <row r="204" spans="1:4" ht="17" x14ac:dyDescent="0.2">
      <c r="A204" s="26">
        <v>134</v>
      </c>
      <c r="B204" s="26" t="s">
        <v>118</v>
      </c>
      <c r="C204" s="27" t="s">
        <v>458</v>
      </c>
      <c r="D204" s="26"/>
    </row>
    <row r="205" spans="1:4" ht="17" x14ac:dyDescent="0.2">
      <c r="A205" s="26"/>
      <c r="B205" s="26"/>
      <c r="C205" s="27"/>
      <c r="D205" s="28" t="s">
        <v>285</v>
      </c>
    </row>
    <row r="206" spans="1:4" ht="17" x14ac:dyDescent="0.2">
      <c r="A206" s="26"/>
      <c r="B206" s="26"/>
      <c r="C206" s="27"/>
      <c r="D206" s="28" t="s">
        <v>290</v>
      </c>
    </row>
    <row r="207" spans="1:4" ht="17" x14ac:dyDescent="0.2">
      <c r="A207" s="26">
        <v>135</v>
      </c>
      <c r="B207" s="26" t="s">
        <v>120</v>
      </c>
      <c r="C207" s="27" t="s">
        <v>119</v>
      </c>
      <c r="D207" s="26"/>
    </row>
    <row r="208" spans="1:4" ht="17" x14ac:dyDescent="0.2">
      <c r="A208" s="26"/>
      <c r="B208" s="26"/>
      <c r="C208" s="27"/>
      <c r="D208" s="28" t="s">
        <v>285</v>
      </c>
    </row>
    <row r="209" spans="1:4" ht="17" x14ac:dyDescent="0.2">
      <c r="A209" s="26"/>
      <c r="B209" s="26"/>
      <c r="C209" s="27"/>
      <c r="D209" s="28" t="s">
        <v>290</v>
      </c>
    </row>
    <row r="210" spans="1:4" ht="17" x14ac:dyDescent="0.2">
      <c r="A210" s="26">
        <v>136</v>
      </c>
      <c r="B210" s="26" t="s">
        <v>122</v>
      </c>
      <c r="C210" s="27" t="s">
        <v>121</v>
      </c>
      <c r="D210" s="26"/>
    </row>
    <row r="211" spans="1:4" ht="17" x14ac:dyDescent="0.2">
      <c r="A211" s="26"/>
      <c r="B211" s="26"/>
      <c r="C211" s="27"/>
      <c r="D211" s="28" t="s">
        <v>285</v>
      </c>
    </row>
    <row r="212" spans="1:4" ht="17" x14ac:dyDescent="0.2">
      <c r="A212" s="26"/>
      <c r="B212" s="26"/>
      <c r="C212" s="27"/>
      <c r="D212" s="28" t="s">
        <v>290</v>
      </c>
    </row>
    <row r="213" spans="1:4" ht="17" x14ac:dyDescent="0.2">
      <c r="A213" s="26">
        <v>137</v>
      </c>
      <c r="B213" s="26" t="s">
        <v>127</v>
      </c>
      <c r="C213" s="29" t="s">
        <v>241</v>
      </c>
      <c r="D213" s="26"/>
    </row>
    <row r="214" spans="1:4" ht="17" x14ac:dyDescent="0.2">
      <c r="A214" s="26">
        <v>138</v>
      </c>
      <c r="B214" s="26"/>
      <c r="C214" s="27"/>
      <c r="D214" s="26" t="s">
        <v>242</v>
      </c>
    </row>
    <row r="215" spans="1:4" ht="17" x14ac:dyDescent="0.2">
      <c r="A215" s="26">
        <v>139</v>
      </c>
      <c r="B215" s="26"/>
      <c r="C215" s="27"/>
      <c r="D215" s="26" t="s">
        <v>265</v>
      </c>
    </row>
    <row r="216" spans="1:4" ht="17" x14ac:dyDescent="0.2">
      <c r="A216" s="26">
        <v>140</v>
      </c>
      <c r="B216" s="26" t="s">
        <v>128</v>
      </c>
      <c r="C216" s="29" t="s">
        <v>243</v>
      </c>
      <c r="D216" s="26"/>
    </row>
    <row r="217" spans="1:4" ht="17" x14ac:dyDescent="0.2">
      <c r="A217" s="26">
        <v>141</v>
      </c>
      <c r="B217" s="26"/>
      <c r="C217" s="27"/>
      <c r="D217" s="26" t="s">
        <v>242</v>
      </c>
    </row>
    <row r="218" spans="1:4" ht="17" x14ac:dyDescent="0.2">
      <c r="A218" s="26">
        <v>142</v>
      </c>
      <c r="B218" s="26"/>
      <c r="C218" s="27"/>
      <c r="D218" s="26" t="s">
        <v>265</v>
      </c>
    </row>
    <row r="219" spans="1:4" ht="17" x14ac:dyDescent="0.2">
      <c r="A219" s="26">
        <v>143</v>
      </c>
      <c r="B219" s="26" t="s">
        <v>129</v>
      </c>
      <c r="C219" s="29" t="s">
        <v>245</v>
      </c>
      <c r="D219" s="26"/>
    </row>
    <row r="220" spans="1:4" ht="17" x14ac:dyDescent="0.2">
      <c r="A220" s="26">
        <v>144</v>
      </c>
      <c r="B220" s="26"/>
      <c r="C220" s="27"/>
      <c r="D220" s="26" t="s">
        <v>242</v>
      </c>
    </row>
    <row r="221" spans="1:4" ht="17" x14ac:dyDescent="0.2">
      <c r="A221" s="26">
        <v>145</v>
      </c>
      <c r="B221" s="26"/>
      <c r="C221" s="27"/>
      <c r="D221" s="26" t="s">
        <v>265</v>
      </c>
    </row>
    <row r="222" spans="1:4" ht="17" x14ac:dyDescent="0.2">
      <c r="A222" s="26">
        <v>146</v>
      </c>
      <c r="B222" s="26" t="s">
        <v>130</v>
      </c>
      <c r="C222" s="29" t="s">
        <v>247</v>
      </c>
      <c r="D222" s="26"/>
    </row>
    <row r="223" spans="1:4" ht="17" x14ac:dyDescent="0.2">
      <c r="A223" s="26">
        <v>147</v>
      </c>
      <c r="B223" s="26"/>
      <c r="C223" s="27"/>
      <c r="D223" s="26" t="s">
        <v>242</v>
      </c>
    </row>
    <row r="224" spans="1:4" ht="17" x14ac:dyDescent="0.2">
      <c r="A224" s="26">
        <v>148</v>
      </c>
      <c r="B224" s="26"/>
      <c r="C224" s="27"/>
      <c r="D224" s="26" t="s">
        <v>265</v>
      </c>
    </row>
    <row r="225" spans="1:4" ht="17" x14ac:dyDescent="0.2">
      <c r="A225" s="26">
        <v>149</v>
      </c>
      <c r="B225" s="26"/>
      <c r="C225" s="29" t="s">
        <v>249</v>
      </c>
      <c r="D225" s="26"/>
    </row>
    <row r="226" spans="1:4" ht="17" x14ac:dyDescent="0.2">
      <c r="A226" s="26">
        <v>150</v>
      </c>
      <c r="B226" s="26"/>
      <c r="C226" s="27"/>
      <c r="D226" s="26" t="s">
        <v>242</v>
      </c>
    </row>
    <row r="227" spans="1:4" ht="17" x14ac:dyDescent="0.2">
      <c r="A227" s="26">
        <v>151</v>
      </c>
      <c r="B227" s="26"/>
      <c r="C227" s="27"/>
      <c r="D227" s="26" t="s">
        <v>265</v>
      </c>
    </row>
    <row r="228" spans="1:4" ht="34" x14ac:dyDescent="0.2">
      <c r="A228" s="26">
        <v>152</v>
      </c>
      <c r="B228" s="26" t="s">
        <v>136</v>
      </c>
      <c r="C228" s="29" t="s">
        <v>441</v>
      </c>
      <c r="D228" s="26"/>
    </row>
    <row r="229" spans="1:4" ht="17" x14ac:dyDescent="0.2">
      <c r="A229" s="26">
        <v>153</v>
      </c>
      <c r="B229" s="26"/>
      <c r="C229" s="27"/>
      <c r="D229" s="26" t="s">
        <v>242</v>
      </c>
    </row>
    <row r="230" spans="1:4" ht="17" x14ac:dyDescent="0.2">
      <c r="A230" s="26">
        <v>154</v>
      </c>
      <c r="B230" s="26"/>
      <c r="C230" s="27"/>
      <c r="D230" s="26" t="s">
        <v>265</v>
      </c>
    </row>
    <row r="231" spans="1:4" ht="17" x14ac:dyDescent="0.2">
      <c r="A231" s="26">
        <v>155</v>
      </c>
      <c r="B231" s="26" t="s">
        <v>132</v>
      </c>
      <c r="C231" s="29" t="s">
        <v>442</v>
      </c>
      <c r="D231" s="26"/>
    </row>
    <row r="232" spans="1:4" ht="17" x14ac:dyDescent="0.2">
      <c r="A232" s="26">
        <v>156</v>
      </c>
      <c r="B232" s="26"/>
      <c r="C232" s="27"/>
      <c r="D232" s="26" t="s">
        <v>242</v>
      </c>
    </row>
    <row r="233" spans="1:4" ht="17" x14ac:dyDescent="0.2">
      <c r="A233" s="26">
        <v>157</v>
      </c>
      <c r="B233" s="26"/>
      <c r="C233" s="27"/>
      <c r="D233" s="26" t="s">
        <v>265</v>
      </c>
    </row>
    <row r="234" spans="1:4" ht="17" x14ac:dyDescent="0.2">
      <c r="A234" s="26">
        <v>158</v>
      </c>
      <c r="B234" s="26" t="s">
        <v>135</v>
      </c>
      <c r="C234" s="29" t="s">
        <v>443</v>
      </c>
      <c r="D234" s="26"/>
    </row>
    <row r="235" spans="1:4" ht="17" x14ac:dyDescent="0.2">
      <c r="A235" s="26">
        <v>159</v>
      </c>
      <c r="B235" s="26"/>
      <c r="C235" s="27"/>
      <c r="D235" s="26" t="s">
        <v>242</v>
      </c>
    </row>
    <row r="236" spans="1:4" ht="17" x14ac:dyDescent="0.2">
      <c r="A236" s="26">
        <v>160</v>
      </c>
      <c r="B236" s="26"/>
      <c r="C236" s="27"/>
      <c r="D236" s="26" t="s">
        <v>265</v>
      </c>
    </row>
    <row r="237" spans="1:4" ht="17" x14ac:dyDescent="0.2">
      <c r="A237" s="26">
        <v>161</v>
      </c>
      <c r="B237" s="26" t="s">
        <v>263</v>
      </c>
      <c r="C237" s="29" t="s">
        <v>444</v>
      </c>
      <c r="D237" s="26"/>
    </row>
    <row r="238" spans="1:4" ht="17" x14ac:dyDescent="0.2">
      <c r="A238" s="26">
        <v>162</v>
      </c>
      <c r="B238" s="26"/>
      <c r="C238" s="27"/>
      <c r="D238" s="26" t="s">
        <v>242</v>
      </c>
    </row>
    <row r="239" spans="1:4" ht="17" x14ac:dyDescent="0.2">
      <c r="A239" s="26">
        <v>163</v>
      </c>
      <c r="B239" s="26"/>
      <c r="C239" s="27"/>
      <c r="D239" s="26" t="s">
        <v>265</v>
      </c>
    </row>
    <row r="240" spans="1:4" ht="34" x14ac:dyDescent="0.2">
      <c r="A240" s="26">
        <v>164</v>
      </c>
      <c r="B240" s="26" t="s">
        <v>136</v>
      </c>
      <c r="C240" s="29" t="s">
        <v>440</v>
      </c>
      <c r="D240" s="26"/>
    </row>
    <row r="241" spans="1:4" ht="17" x14ac:dyDescent="0.2">
      <c r="A241" s="26">
        <v>165</v>
      </c>
      <c r="B241" s="26"/>
      <c r="C241" s="27"/>
      <c r="D241" s="26" t="s">
        <v>246</v>
      </c>
    </row>
    <row r="242" spans="1:4" ht="17" x14ac:dyDescent="0.2">
      <c r="A242" s="26">
        <v>166</v>
      </c>
      <c r="B242" s="26"/>
      <c r="C242" s="27"/>
      <c r="D242" s="26" t="s">
        <v>255</v>
      </c>
    </row>
    <row r="243" spans="1:4" ht="17" x14ac:dyDescent="0.2">
      <c r="A243" s="26">
        <v>167</v>
      </c>
      <c r="B243" s="26"/>
      <c r="C243" s="26"/>
      <c r="D243" s="27" t="s">
        <v>257</v>
      </c>
    </row>
    <row r="244" spans="1:4" ht="17" x14ac:dyDescent="0.2">
      <c r="A244" s="26">
        <v>170</v>
      </c>
      <c r="B244" s="26" t="s">
        <v>134</v>
      </c>
      <c r="C244" s="26"/>
      <c r="D244" s="27" t="s">
        <v>133</v>
      </c>
    </row>
    <row r="245" spans="1:4" ht="17" x14ac:dyDescent="0.2">
      <c r="A245" s="26">
        <v>171</v>
      </c>
      <c r="B245" s="26" t="s">
        <v>135</v>
      </c>
      <c r="C245" s="26" t="s">
        <v>259</v>
      </c>
      <c r="D245" s="27"/>
    </row>
    <row r="246" spans="1:4" ht="17" x14ac:dyDescent="0.2">
      <c r="A246" s="26">
        <v>172</v>
      </c>
      <c r="B246" s="26"/>
      <c r="C246" s="26"/>
      <c r="D246" s="27" t="s">
        <v>246</v>
      </c>
    </row>
    <row r="247" spans="1:4" ht="17" x14ac:dyDescent="0.2">
      <c r="A247" s="26">
        <v>173</v>
      </c>
      <c r="B247" s="26"/>
      <c r="C247" s="26"/>
      <c r="D247" s="27" t="s">
        <v>260</v>
      </c>
    </row>
    <row r="248" spans="1:4" ht="17" x14ac:dyDescent="0.2">
      <c r="A248" s="26">
        <v>174</v>
      </c>
      <c r="B248" s="26" t="s">
        <v>271</v>
      </c>
      <c r="C248" s="35" t="s">
        <v>461</v>
      </c>
      <c r="D248" s="27"/>
    </row>
    <row r="249" spans="1:4" ht="17" x14ac:dyDescent="0.2">
      <c r="A249" s="26">
        <v>175</v>
      </c>
      <c r="C249" s="26"/>
      <c r="D249" s="27" t="s">
        <v>242</v>
      </c>
    </row>
    <row r="250" spans="1:4" ht="17" x14ac:dyDescent="0.2">
      <c r="A250" s="26">
        <v>176</v>
      </c>
      <c r="B250" s="26"/>
      <c r="C250" s="26"/>
      <c r="D250" s="27" t="s">
        <v>265</v>
      </c>
    </row>
    <row r="251" spans="1:4" ht="17" x14ac:dyDescent="0.2">
      <c r="A251" s="26">
        <v>177</v>
      </c>
      <c r="B251" s="26" t="s">
        <v>267</v>
      </c>
      <c r="C251" s="35" t="s">
        <v>266</v>
      </c>
      <c r="D251" s="26"/>
    </row>
    <row r="252" spans="1:4" ht="17" x14ac:dyDescent="0.2">
      <c r="A252" s="26">
        <v>178</v>
      </c>
      <c r="B252" s="26"/>
      <c r="C252" s="26"/>
      <c r="D252" s="26" t="s">
        <v>242</v>
      </c>
    </row>
    <row r="253" spans="1:4" ht="17" x14ac:dyDescent="0.2">
      <c r="A253" s="26">
        <v>179</v>
      </c>
      <c r="B253" s="26"/>
      <c r="C253" s="26"/>
      <c r="D253" s="26" t="s">
        <v>265</v>
      </c>
    </row>
    <row r="254" spans="1:4" ht="17" x14ac:dyDescent="0.2">
      <c r="A254" s="26">
        <v>180</v>
      </c>
      <c r="B254" s="26"/>
      <c r="C254" s="26"/>
      <c r="D254" s="26" t="s">
        <v>462</v>
      </c>
    </row>
    <row r="255" spans="1:4" ht="17" x14ac:dyDescent="0.2">
      <c r="A255" s="26">
        <v>181</v>
      </c>
      <c r="B255" s="26"/>
      <c r="C255" s="35" t="s">
        <v>268</v>
      </c>
      <c r="D255" s="26"/>
    </row>
    <row r="256" spans="1:4" ht="17" x14ac:dyDescent="0.2">
      <c r="A256" s="26">
        <v>182</v>
      </c>
      <c r="B256" s="26"/>
      <c r="C256" s="26"/>
      <c r="D256" s="26" t="s">
        <v>269</v>
      </c>
    </row>
    <row r="257" spans="1:4" ht="17" x14ac:dyDescent="0.2">
      <c r="A257" s="26">
        <v>183</v>
      </c>
      <c r="B257" s="26"/>
      <c r="C257" s="26"/>
      <c r="D257" s="26" t="s">
        <v>246</v>
      </c>
    </row>
    <row r="258" spans="1:4" ht="17" x14ac:dyDescent="0.2">
      <c r="A258" s="26">
        <v>184</v>
      </c>
      <c r="B258" s="26"/>
      <c r="C258" s="26"/>
      <c r="D258" s="26" t="s">
        <v>270</v>
      </c>
    </row>
    <row r="259" spans="1:4" ht="17" x14ac:dyDescent="0.2">
      <c r="A259" s="26">
        <v>185</v>
      </c>
      <c r="B259" s="26" t="s">
        <v>124</v>
      </c>
      <c r="C259" s="35" t="s">
        <v>123</v>
      </c>
      <c r="D259" s="26"/>
    </row>
    <row r="260" spans="1:4" ht="17" x14ac:dyDescent="0.2">
      <c r="A260" s="26">
        <v>186</v>
      </c>
      <c r="B260" s="26"/>
      <c r="C260" s="26"/>
      <c r="D260" s="26" t="s">
        <v>238</v>
      </c>
    </row>
    <row r="261" spans="1:4" ht="17" x14ac:dyDescent="0.2">
      <c r="A261" s="26">
        <v>187</v>
      </c>
      <c r="B261" s="26" t="s">
        <v>126</v>
      </c>
      <c r="C261" s="26"/>
      <c r="D261" s="26" t="s">
        <v>239</v>
      </c>
    </row>
    <row r="262" spans="1:4" ht="17" x14ac:dyDescent="0.2">
      <c r="A262" s="26">
        <v>188</v>
      </c>
      <c r="B262" s="26" t="s">
        <v>127</v>
      </c>
      <c r="C262" s="27"/>
      <c r="D262" s="26" t="s">
        <v>240</v>
      </c>
    </row>
    <row r="263" spans="1:4" ht="17" x14ac:dyDescent="0.2">
      <c r="A263" s="26">
        <v>189</v>
      </c>
      <c r="B263" s="26" t="s">
        <v>128</v>
      </c>
      <c r="C263" s="27"/>
      <c r="D263" s="26" t="s">
        <v>244</v>
      </c>
    </row>
    <row r="264" spans="1:4" ht="17" x14ac:dyDescent="0.2">
      <c r="A264" s="26">
        <v>190</v>
      </c>
      <c r="B264" s="26" t="s">
        <v>129</v>
      </c>
      <c r="C264" s="26"/>
      <c r="D264" s="27" t="s">
        <v>251</v>
      </c>
    </row>
    <row r="265" spans="1:4" ht="17" x14ac:dyDescent="0.2">
      <c r="A265" s="26">
        <v>191</v>
      </c>
      <c r="B265" s="26" t="s">
        <v>130</v>
      </c>
      <c r="C265" s="26"/>
      <c r="D265" s="27" t="s">
        <v>248</v>
      </c>
    </row>
    <row r="266" spans="1:4" ht="17" x14ac:dyDescent="0.2">
      <c r="A266" s="26">
        <v>192</v>
      </c>
      <c r="B266" s="26" t="s">
        <v>131</v>
      </c>
      <c r="C266" s="26"/>
      <c r="D266" s="27" t="s">
        <v>250</v>
      </c>
    </row>
    <row r="267" spans="1:4" ht="17" x14ac:dyDescent="0.2">
      <c r="A267" s="26">
        <v>193</v>
      </c>
      <c r="B267" s="26" t="s">
        <v>263</v>
      </c>
      <c r="C267" s="26"/>
      <c r="D267" s="27" t="s">
        <v>262</v>
      </c>
    </row>
    <row r="268" spans="1:4" ht="17" x14ac:dyDescent="0.2">
      <c r="A268" s="26">
        <v>194</v>
      </c>
      <c r="B268" s="26" t="s">
        <v>263</v>
      </c>
      <c r="C268" s="26"/>
      <c r="D268" s="27" t="s">
        <v>262</v>
      </c>
    </row>
    <row r="269" spans="1:4" ht="17" x14ac:dyDescent="0.2">
      <c r="A269" s="26">
        <v>195</v>
      </c>
      <c r="B269" s="26" t="s">
        <v>138</v>
      </c>
      <c r="C269" s="26"/>
      <c r="D269" s="27" t="s">
        <v>137</v>
      </c>
    </row>
    <row r="270" spans="1:4" ht="17" x14ac:dyDescent="0.2">
      <c r="A270" s="26">
        <v>196</v>
      </c>
      <c r="B270" s="26" t="s">
        <v>140</v>
      </c>
      <c r="C270" s="26"/>
      <c r="D270" s="27" t="s">
        <v>139</v>
      </c>
    </row>
    <row r="271" spans="1:4" ht="17" x14ac:dyDescent="0.2">
      <c r="A271" s="26">
        <v>197</v>
      </c>
      <c r="B271" s="26" t="s">
        <v>142</v>
      </c>
      <c r="C271" s="26"/>
      <c r="D271" s="27" t="s">
        <v>141</v>
      </c>
    </row>
    <row r="272" spans="1:4" ht="17" x14ac:dyDescent="0.2">
      <c r="A272" s="26">
        <v>198</v>
      </c>
      <c r="B272" s="26" t="s">
        <v>144</v>
      </c>
      <c r="C272" s="26"/>
      <c r="D272" s="27" t="s">
        <v>143</v>
      </c>
    </row>
    <row r="273" spans="1:4" ht="17" x14ac:dyDescent="0.2">
      <c r="A273" s="26">
        <v>199</v>
      </c>
      <c r="B273" s="26" t="s">
        <v>146</v>
      </c>
      <c r="C273" s="26" t="s">
        <v>145</v>
      </c>
      <c r="D273" s="27"/>
    </row>
    <row r="274" spans="1:4" ht="17" x14ac:dyDescent="0.2">
      <c r="A274" s="26"/>
      <c r="B274" s="26"/>
      <c r="C274" s="26"/>
      <c r="D274" s="27" t="s">
        <v>290</v>
      </c>
    </row>
    <row r="275" spans="1:4" ht="17" x14ac:dyDescent="0.2">
      <c r="A275" s="26">
        <v>200</v>
      </c>
      <c r="B275" s="26" t="s">
        <v>148</v>
      </c>
      <c r="C275" s="35" t="s">
        <v>453</v>
      </c>
      <c r="D275" s="27"/>
    </row>
    <row r="276" spans="1:4" ht="17" x14ac:dyDescent="0.2">
      <c r="A276" s="26"/>
      <c r="B276" s="26"/>
      <c r="C276" s="27"/>
      <c r="D276" s="26" t="s">
        <v>285</v>
      </c>
    </row>
    <row r="277" spans="1:4" ht="17" x14ac:dyDescent="0.2">
      <c r="A277" s="26"/>
      <c r="B277" s="26"/>
      <c r="C277" s="27"/>
      <c r="D277" s="28" t="s">
        <v>290</v>
      </c>
    </row>
    <row r="278" spans="1:4" ht="17" x14ac:dyDescent="0.2">
      <c r="A278" s="26">
        <v>201</v>
      </c>
      <c r="B278" s="26" t="s">
        <v>464</v>
      </c>
      <c r="C278" s="29" t="s">
        <v>19</v>
      </c>
      <c r="D278" s="26"/>
    </row>
    <row r="279" spans="1:4" ht="17" x14ac:dyDescent="0.2">
      <c r="A279" s="26"/>
      <c r="B279" s="26"/>
      <c r="C279" s="27"/>
      <c r="D279" s="28" t="s">
        <v>285</v>
      </c>
    </row>
    <row r="280" spans="1:4" ht="17" x14ac:dyDescent="0.2">
      <c r="A280" s="26"/>
      <c r="B280" s="26"/>
      <c r="C280" s="27"/>
      <c r="D280" s="28" t="s">
        <v>290</v>
      </c>
    </row>
    <row r="281" spans="1:4" ht="17" x14ac:dyDescent="0.2">
      <c r="A281" s="26">
        <v>202</v>
      </c>
      <c r="B281" s="26"/>
      <c r="C281" s="29" t="s">
        <v>463</v>
      </c>
      <c r="D281" s="28"/>
    </row>
    <row r="282" spans="1:4" ht="17" x14ac:dyDescent="0.2">
      <c r="A282" s="26">
        <v>203</v>
      </c>
      <c r="B282" s="26"/>
      <c r="C282" s="29" t="s">
        <v>20</v>
      </c>
      <c r="D282" s="26"/>
    </row>
    <row r="283" spans="1:4" ht="17" x14ac:dyDescent="0.2">
      <c r="A283" s="26">
        <v>204</v>
      </c>
      <c r="B283" s="26"/>
      <c r="C283" s="29" t="s">
        <v>465</v>
      </c>
      <c r="D283" s="28"/>
    </row>
    <row r="284" spans="1:4" ht="17" x14ac:dyDescent="0.2">
      <c r="A284" s="26">
        <v>205</v>
      </c>
      <c r="B284" s="26"/>
      <c r="C284" s="29" t="s">
        <v>466</v>
      </c>
      <c r="D284" s="28"/>
    </row>
    <row r="285" spans="1:4" ht="17" x14ac:dyDescent="0.2">
      <c r="A285" s="26">
        <v>206</v>
      </c>
      <c r="B285" s="26"/>
      <c r="C285" s="29" t="s">
        <v>467</v>
      </c>
      <c r="D285" s="26"/>
    </row>
    <row r="286" spans="1:4" ht="17" x14ac:dyDescent="0.2">
      <c r="A286" s="26">
        <v>207</v>
      </c>
      <c r="B286" s="26"/>
      <c r="C286" s="29" t="s">
        <v>468</v>
      </c>
      <c r="D286" s="26"/>
    </row>
    <row r="287" spans="1:4" ht="17" x14ac:dyDescent="0.2">
      <c r="A287" s="26">
        <v>208</v>
      </c>
      <c r="B287" s="26"/>
      <c r="C287" s="29" t="s">
        <v>25</v>
      </c>
      <c r="D287" s="26"/>
    </row>
    <row r="288" spans="1:4" ht="17" x14ac:dyDescent="0.2">
      <c r="A288" s="26">
        <v>209</v>
      </c>
      <c r="B288" s="26"/>
      <c r="C288" s="29" t="s">
        <v>26</v>
      </c>
      <c r="D288" s="26"/>
    </row>
    <row r="289" spans="1:4" ht="17" x14ac:dyDescent="0.2">
      <c r="A289" s="26">
        <v>210</v>
      </c>
      <c r="B289" s="26"/>
      <c r="C289" s="29" t="s">
        <v>469</v>
      </c>
      <c r="D289" s="26"/>
    </row>
    <row r="290" spans="1:4" ht="17" x14ac:dyDescent="0.2">
      <c r="A290" s="26">
        <v>211</v>
      </c>
      <c r="B290" s="26"/>
      <c r="C290" s="29" t="s">
        <v>470</v>
      </c>
      <c r="D290" s="26"/>
    </row>
    <row r="291" spans="1:4" ht="17" x14ac:dyDescent="0.2">
      <c r="A291" s="26">
        <v>212</v>
      </c>
      <c r="B291" s="26"/>
      <c r="C291" s="29" t="s">
        <v>471</v>
      </c>
      <c r="D291" s="26"/>
    </row>
    <row r="292" spans="1:4" ht="17" x14ac:dyDescent="0.2">
      <c r="A292" s="26">
        <v>213</v>
      </c>
      <c r="B292" s="26"/>
      <c r="C292" s="29" t="s">
        <v>472</v>
      </c>
      <c r="D292" s="26"/>
    </row>
    <row r="293" spans="1:4" ht="17" x14ac:dyDescent="0.2">
      <c r="A293" s="26">
        <v>214</v>
      </c>
      <c r="B293" s="26"/>
      <c r="C293" s="29" t="s">
        <v>473</v>
      </c>
      <c r="D293" s="26"/>
    </row>
    <row r="294" spans="1:4" ht="17" x14ac:dyDescent="0.2">
      <c r="A294" s="26">
        <v>215</v>
      </c>
      <c r="B294" s="26"/>
      <c r="C294" s="29" t="s">
        <v>474</v>
      </c>
      <c r="D294" s="26"/>
    </row>
    <row r="295" spans="1:4" ht="17" x14ac:dyDescent="0.2">
      <c r="A295" s="26">
        <v>216</v>
      </c>
      <c r="B295" s="26"/>
      <c r="C295" s="27" t="s">
        <v>33</v>
      </c>
      <c r="D295" s="26"/>
    </row>
    <row r="296" spans="1:4" ht="17" x14ac:dyDescent="0.2">
      <c r="A296" s="26">
        <v>217</v>
      </c>
      <c r="B296" s="26"/>
      <c r="C296" s="27" t="s">
        <v>34</v>
      </c>
      <c r="D296" s="26"/>
    </row>
    <row r="297" spans="1:4" ht="17" x14ac:dyDescent="0.2">
      <c r="A297" s="26">
        <v>218</v>
      </c>
      <c r="B297" s="26"/>
      <c r="C297" s="27" t="s">
        <v>35</v>
      </c>
      <c r="D297" s="26"/>
    </row>
    <row r="298" spans="1:4" ht="17" x14ac:dyDescent="0.2">
      <c r="A298" s="26">
        <v>219</v>
      </c>
      <c r="B298" s="26"/>
      <c r="C298" s="27" t="s">
        <v>36</v>
      </c>
      <c r="D298" s="26"/>
    </row>
    <row r="299" spans="1:4" ht="17" x14ac:dyDescent="0.2">
      <c r="A299" s="26">
        <v>220</v>
      </c>
      <c r="B299" s="26"/>
      <c r="C299" s="27" t="s">
        <v>37</v>
      </c>
      <c r="D299" s="26"/>
    </row>
    <row r="300" spans="1:4" ht="17" x14ac:dyDescent="0.2">
      <c r="A300" s="26">
        <v>221</v>
      </c>
      <c r="B300" s="26"/>
      <c r="C300" s="27" t="s">
        <v>38</v>
      </c>
      <c r="D300" s="26"/>
    </row>
    <row r="301" spans="1:4" ht="17" x14ac:dyDescent="0.2">
      <c r="A301" s="26">
        <v>222</v>
      </c>
      <c r="B301" s="26"/>
      <c r="C301" s="27" t="s">
        <v>39</v>
      </c>
      <c r="D301" s="26"/>
    </row>
    <row r="302" spans="1:4" ht="17" x14ac:dyDescent="0.2">
      <c r="A302" s="26">
        <v>223</v>
      </c>
      <c r="B302" s="26"/>
      <c r="C302" s="27" t="s">
        <v>40</v>
      </c>
      <c r="D302" s="26"/>
    </row>
    <row r="303" spans="1:4" ht="17" x14ac:dyDescent="0.2">
      <c r="A303" s="26">
        <v>224</v>
      </c>
      <c r="B303" s="26"/>
      <c r="C303" s="27" t="s">
        <v>41</v>
      </c>
      <c r="D303" s="26"/>
    </row>
    <row r="304" spans="1:4" ht="17" x14ac:dyDescent="0.2">
      <c r="A304" s="26">
        <v>225</v>
      </c>
      <c r="B304" s="26"/>
      <c r="C304" s="27" t="s">
        <v>42</v>
      </c>
      <c r="D304" s="26"/>
    </row>
    <row r="305" spans="1:4" ht="17" x14ac:dyDescent="0.2">
      <c r="A305" s="26">
        <v>226</v>
      </c>
      <c r="B305" s="26" t="s">
        <v>150</v>
      </c>
      <c r="C305" s="27" t="s">
        <v>454</v>
      </c>
      <c r="D305" s="26"/>
    </row>
    <row r="306" spans="1:4" ht="17" x14ac:dyDescent="0.2">
      <c r="A306" s="26">
        <v>227</v>
      </c>
      <c r="B306" s="26"/>
      <c r="C306" s="27" t="s">
        <v>43</v>
      </c>
      <c r="D306" s="26"/>
    </row>
    <row r="307" spans="1:4" ht="17" x14ac:dyDescent="0.2">
      <c r="A307" s="26">
        <v>228</v>
      </c>
      <c r="B307" s="26"/>
      <c r="C307" s="27" t="s">
        <v>44</v>
      </c>
      <c r="D307" s="26"/>
    </row>
    <row r="308" spans="1:4" ht="17" x14ac:dyDescent="0.2">
      <c r="A308" s="26">
        <v>229</v>
      </c>
      <c r="B308" s="26"/>
      <c r="C308" s="27" t="s">
        <v>45</v>
      </c>
      <c r="D308" s="26"/>
    </row>
    <row r="309" spans="1:4" ht="17" x14ac:dyDescent="0.2">
      <c r="A309" s="26">
        <v>230</v>
      </c>
      <c r="B309" s="26"/>
      <c r="C309" s="27" t="s">
        <v>46</v>
      </c>
      <c r="D309" s="26"/>
    </row>
    <row r="310" spans="1:4" ht="17" x14ac:dyDescent="0.2">
      <c r="A310" s="26">
        <v>231</v>
      </c>
      <c r="B310" s="26"/>
      <c r="C310" s="27" t="s">
        <v>47</v>
      </c>
      <c r="D310" s="26"/>
    </row>
    <row r="311" spans="1:4" ht="17" x14ac:dyDescent="0.2">
      <c r="A311" s="26">
        <v>232</v>
      </c>
      <c r="B311" s="26"/>
      <c r="C311" s="27" t="s">
        <v>48</v>
      </c>
      <c r="D311" s="26"/>
    </row>
    <row r="312" spans="1:4" ht="17" x14ac:dyDescent="0.2">
      <c r="A312" s="26">
        <v>233</v>
      </c>
      <c r="B312" s="26"/>
      <c r="C312" s="27" t="s">
        <v>49</v>
      </c>
      <c r="D312" s="26"/>
    </row>
    <row r="313" spans="1:4" ht="17" x14ac:dyDescent="0.2">
      <c r="A313" s="26">
        <v>234</v>
      </c>
      <c r="B313" s="26"/>
      <c r="C313" s="27" t="s">
        <v>50</v>
      </c>
      <c r="D313" s="26"/>
    </row>
    <row r="314" spans="1:4" ht="17" x14ac:dyDescent="0.2">
      <c r="A314" s="26">
        <v>235</v>
      </c>
      <c r="B314" s="26"/>
      <c r="C314" s="27" t="s">
        <v>51</v>
      </c>
      <c r="D314" s="26"/>
    </row>
    <row r="315" spans="1:4" ht="17" x14ac:dyDescent="0.2">
      <c r="A315" s="26">
        <v>236</v>
      </c>
      <c r="B315" s="26"/>
      <c r="C315" s="27" t="s">
        <v>52</v>
      </c>
      <c r="D315" s="26"/>
    </row>
    <row r="316" spans="1:4" ht="17" x14ac:dyDescent="0.2">
      <c r="A316" s="26">
        <v>237</v>
      </c>
      <c r="B316" s="26"/>
      <c r="C316" s="27" t="s">
        <v>53</v>
      </c>
      <c r="D316" s="26"/>
    </row>
    <row r="317" spans="1:4" ht="17" x14ac:dyDescent="0.2">
      <c r="A317" s="26">
        <v>238</v>
      </c>
      <c r="B317" s="26"/>
      <c r="C317" s="27" t="s">
        <v>54</v>
      </c>
      <c r="D317" s="26"/>
    </row>
    <row r="318" spans="1:4" ht="17" x14ac:dyDescent="0.2">
      <c r="A318" s="26">
        <v>239</v>
      </c>
      <c r="B318" s="26"/>
      <c r="C318" s="27" t="s">
        <v>55</v>
      </c>
      <c r="D318" s="26"/>
    </row>
    <row r="319" spans="1:4" ht="17" x14ac:dyDescent="0.2">
      <c r="A319" s="26">
        <v>240</v>
      </c>
      <c r="B319" s="26"/>
      <c r="C319" s="27" t="s">
        <v>56</v>
      </c>
      <c r="D319" s="26"/>
    </row>
    <row r="320" spans="1:4" ht="17" x14ac:dyDescent="0.2">
      <c r="A320" s="26">
        <v>241</v>
      </c>
      <c r="B320" s="26" t="s">
        <v>152</v>
      </c>
      <c r="C320" s="27" t="s">
        <v>151</v>
      </c>
      <c r="D320" s="26"/>
    </row>
    <row r="321" spans="1:4" ht="17" x14ac:dyDescent="0.2">
      <c r="A321" s="26">
        <v>242</v>
      </c>
      <c r="B321" s="26"/>
      <c r="C321" s="27" t="s">
        <v>57</v>
      </c>
      <c r="D321" s="26"/>
    </row>
    <row r="322" spans="1:4" ht="17" x14ac:dyDescent="0.2">
      <c r="A322" s="26">
        <v>243</v>
      </c>
      <c r="B322" s="26"/>
      <c r="C322" s="27" t="s">
        <v>58</v>
      </c>
      <c r="D322" s="26"/>
    </row>
    <row r="323" spans="1:4" ht="17" x14ac:dyDescent="0.2">
      <c r="A323" s="26">
        <v>244</v>
      </c>
      <c r="B323" s="26"/>
      <c r="C323" s="27" t="s">
        <v>59</v>
      </c>
      <c r="D323" s="26"/>
    </row>
    <row r="324" spans="1:4" ht="17" x14ac:dyDescent="0.2">
      <c r="A324" s="26">
        <v>245</v>
      </c>
      <c r="B324" s="26"/>
      <c r="C324" s="27" t="s">
        <v>60</v>
      </c>
      <c r="D324" s="26"/>
    </row>
    <row r="325" spans="1:4" ht="17" x14ac:dyDescent="0.2">
      <c r="A325" s="26">
        <v>246</v>
      </c>
      <c r="B325" s="26"/>
      <c r="C325" s="27" t="s">
        <v>61</v>
      </c>
      <c r="D325" s="26"/>
    </row>
    <row r="326" spans="1:4" ht="17" x14ac:dyDescent="0.2">
      <c r="A326" s="26">
        <v>247</v>
      </c>
      <c r="B326" s="26" t="s">
        <v>154</v>
      </c>
      <c r="C326" s="27" t="s">
        <v>153</v>
      </c>
      <c r="D326" s="26"/>
    </row>
    <row r="327" spans="1:4" ht="17" x14ac:dyDescent="0.2">
      <c r="A327" s="26">
        <v>248</v>
      </c>
      <c r="B327" s="26"/>
      <c r="C327" s="27" t="s">
        <v>62</v>
      </c>
      <c r="D327" s="26"/>
    </row>
    <row r="328" spans="1:4" ht="17" x14ac:dyDescent="0.2">
      <c r="A328" s="26">
        <v>249</v>
      </c>
      <c r="B328" s="26"/>
      <c r="C328" s="27" t="s">
        <v>63</v>
      </c>
      <c r="D328" s="26"/>
    </row>
    <row r="329" spans="1:4" ht="17" x14ac:dyDescent="0.2">
      <c r="A329" s="26">
        <v>250</v>
      </c>
      <c r="B329" s="26" t="s">
        <v>155</v>
      </c>
      <c r="C329" s="27" t="s">
        <v>151</v>
      </c>
      <c r="D329" s="26"/>
    </row>
    <row r="330" spans="1:4" ht="17" x14ac:dyDescent="0.2">
      <c r="A330" s="26">
        <v>251</v>
      </c>
      <c r="B330" s="26" t="s">
        <v>157</v>
      </c>
      <c r="C330" s="27" t="s">
        <v>156</v>
      </c>
      <c r="D330" s="26"/>
    </row>
    <row r="331" spans="1:4" ht="17" x14ac:dyDescent="0.2">
      <c r="A331" s="26">
        <v>252</v>
      </c>
      <c r="B331" s="26"/>
      <c r="C331" s="27" t="s">
        <v>459</v>
      </c>
      <c r="D331" s="26"/>
    </row>
    <row r="332" spans="1:4" ht="17" x14ac:dyDescent="0.2">
      <c r="A332" s="26">
        <v>253</v>
      </c>
      <c r="B332" s="26"/>
      <c r="C332" s="27" t="s">
        <v>65</v>
      </c>
      <c r="D332" s="26"/>
    </row>
    <row r="333" spans="1:4" ht="17" x14ac:dyDescent="0.2">
      <c r="A333" s="26">
        <v>254</v>
      </c>
      <c r="B333" s="26"/>
      <c r="C333" s="27" t="s">
        <v>66</v>
      </c>
      <c r="D333" s="26"/>
    </row>
    <row r="334" spans="1:4" ht="17" x14ac:dyDescent="0.2">
      <c r="A334" s="26">
        <v>255</v>
      </c>
      <c r="B334" s="26"/>
      <c r="C334" s="27" t="s">
        <v>67</v>
      </c>
      <c r="D334" s="26"/>
    </row>
    <row r="335" spans="1:4" ht="17" x14ac:dyDescent="0.2">
      <c r="A335" s="26">
        <v>256</v>
      </c>
      <c r="B335" s="26"/>
      <c r="C335" s="27" t="s">
        <v>68</v>
      </c>
      <c r="D335" s="26"/>
    </row>
    <row r="336" spans="1:4" ht="17" x14ac:dyDescent="0.2">
      <c r="A336" s="26">
        <v>257</v>
      </c>
      <c r="B336" s="26"/>
      <c r="C336" s="27" t="s">
        <v>69</v>
      </c>
      <c r="D336" s="26"/>
    </row>
    <row r="337" spans="1:4" ht="17" x14ac:dyDescent="0.2">
      <c r="A337" s="26">
        <v>258</v>
      </c>
      <c r="B337" s="26"/>
      <c r="C337" s="27" t="s">
        <v>70</v>
      </c>
      <c r="D337" s="26"/>
    </row>
    <row r="338" spans="1:4" ht="17" x14ac:dyDescent="0.2">
      <c r="A338" s="26">
        <v>259</v>
      </c>
      <c r="B338" s="26"/>
      <c r="C338" s="27" t="s">
        <v>460</v>
      </c>
      <c r="D338" s="26"/>
    </row>
    <row r="339" spans="1:4" ht="17" x14ac:dyDescent="0.2">
      <c r="A339" s="26">
        <v>260</v>
      </c>
      <c r="B339" s="26"/>
      <c r="C339" s="27" t="s">
        <v>72</v>
      </c>
      <c r="D339" s="26"/>
    </row>
    <row r="340" spans="1:4" ht="17" x14ac:dyDescent="0.2">
      <c r="A340" s="26">
        <v>261</v>
      </c>
      <c r="B340" s="26"/>
      <c r="C340" s="27" t="s">
        <v>73</v>
      </c>
      <c r="D340" s="26"/>
    </row>
    <row r="341" spans="1:4" ht="17" x14ac:dyDescent="0.2">
      <c r="A341" s="26">
        <v>262</v>
      </c>
      <c r="B341" s="26"/>
      <c r="C341" s="27" t="s">
        <v>455</v>
      </c>
      <c r="D341" s="26"/>
    </row>
    <row r="342" spans="1:4" ht="17" x14ac:dyDescent="0.2">
      <c r="A342" s="26">
        <v>263</v>
      </c>
      <c r="B342" s="26"/>
      <c r="C342" s="27" t="s">
        <v>158</v>
      </c>
      <c r="D342" s="26"/>
    </row>
    <row r="343" spans="1:4" ht="17" x14ac:dyDescent="0.2">
      <c r="A343" s="26">
        <v>264</v>
      </c>
      <c r="B343" s="26"/>
      <c r="C343" s="27" t="s">
        <v>159</v>
      </c>
      <c r="D343" s="26"/>
    </row>
    <row r="344" spans="1:4" ht="17" x14ac:dyDescent="0.2">
      <c r="A344" s="26">
        <v>265</v>
      </c>
      <c r="B344" s="26"/>
      <c r="C344" s="27" t="s">
        <v>75</v>
      </c>
      <c r="D344" s="26"/>
    </row>
    <row r="345" spans="1:4" ht="17" x14ac:dyDescent="0.2">
      <c r="A345" s="26">
        <v>266</v>
      </c>
      <c r="B345" s="26"/>
      <c r="C345" s="27" t="s">
        <v>76</v>
      </c>
      <c r="D345" s="26"/>
    </row>
    <row r="346" spans="1:4" ht="17" x14ac:dyDescent="0.2">
      <c r="A346" s="26">
        <v>267</v>
      </c>
      <c r="B346" s="26"/>
      <c r="C346" s="27" t="s">
        <v>77</v>
      </c>
      <c r="D346" s="26"/>
    </row>
    <row r="347" spans="1:4" ht="17" x14ac:dyDescent="0.2">
      <c r="A347" s="26">
        <v>268</v>
      </c>
      <c r="B347" s="26"/>
      <c r="C347" s="27" t="s">
        <v>78</v>
      </c>
      <c r="D347" s="26"/>
    </row>
    <row r="348" spans="1:4" ht="17" x14ac:dyDescent="0.2">
      <c r="A348" s="26">
        <v>269</v>
      </c>
      <c r="B348" s="26"/>
      <c r="C348" s="27" t="s">
        <v>456</v>
      </c>
      <c r="D348" s="26"/>
    </row>
    <row r="349" spans="1:4" ht="17" x14ac:dyDescent="0.2">
      <c r="A349" s="26">
        <v>270</v>
      </c>
      <c r="B349" s="26"/>
      <c r="C349" s="27" t="s">
        <v>80</v>
      </c>
      <c r="D349" s="26"/>
    </row>
    <row r="350" spans="1:4" x14ac:dyDescent="0.2">
      <c r="A350" s="26">
        <v>271</v>
      </c>
      <c r="B350" s="23"/>
      <c r="C350" s="25"/>
      <c r="D350" s="23"/>
    </row>
    <row r="351" spans="1:4" x14ac:dyDescent="0.2">
      <c r="A351" s="26">
        <v>272</v>
      </c>
      <c r="B351" s="23"/>
      <c r="C351" s="23"/>
      <c r="D351" s="23"/>
    </row>
    <row r="352" spans="1:4" x14ac:dyDescent="0.2">
      <c r="A352" s="26">
        <v>273</v>
      </c>
      <c r="B352" s="23"/>
      <c r="C352" s="23"/>
      <c r="D352" s="23"/>
    </row>
    <row r="353" spans="1:4" x14ac:dyDescent="0.2">
      <c r="A353" s="26">
        <v>274</v>
      </c>
      <c r="B353" s="23"/>
      <c r="C353" s="23"/>
      <c r="D353" s="23"/>
    </row>
    <row r="354" spans="1:4" x14ac:dyDescent="0.2">
      <c r="A354" s="26">
        <v>275</v>
      </c>
      <c r="B354" s="23"/>
      <c r="C354" s="23"/>
      <c r="D354" s="23"/>
    </row>
    <row r="355" spans="1:4" x14ac:dyDescent="0.2">
      <c r="A355" s="26">
        <v>276</v>
      </c>
      <c r="B355" s="23"/>
      <c r="C355" s="23"/>
      <c r="D355" s="23"/>
    </row>
    <row r="356" spans="1:4" x14ac:dyDescent="0.2">
      <c r="A356" s="26">
        <v>277</v>
      </c>
      <c r="B356" s="23"/>
      <c r="C356" s="23"/>
      <c r="D356" s="23"/>
    </row>
    <row r="357" spans="1:4" x14ac:dyDescent="0.2">
      <c r="A357" s="26">
        <v>278</v>
      </c>
      <c r="B357" s="23"/>
      <c r="C357" s="23"/>
      <c r="D357" s="23"/>
    </row>
    <row r="358" spans="1:4" x14ac:dyDescent="0.2">
      <c r="A358" s="26">
        <v>279</v>
      </c>
      <c r="B358" s="23"/>
      <c r="C358" s="23"/>
      <c r="D358" s="23"/>
    </row>
    <row r="359" spans="1:4" x14ac:dyDescent="0.2">
      <c r="A359" s="26">
        <v>280</v>
      </c>
      <c r="B359" s="23"/>
      <c r="C359" s="23"/>
      <c r="D359" s="23"/>
    </row>
    <row r="360" spans="1:4" x14ac:dyDescent="0.2">
      <c r="A360" s="26">
        <v>281</v>
      </c>
      <c r="B360" s="23"/>
      <c r="C360" s="23"/>
      <c r="D360" s="23"/>
    </row>
    <row r="361" spans="1:4" x14ac:dyDescent="0.2">
      <c r="A361" s="26">
        <v>282</v>
      </c>
      <c r="B361" s="23"/>
      <c r="C361" s="23"/>
      <c r="D361" s="23"/>
    </row>
    <row r="362" spans="1:4" x14ac:dyDescent="0.2">
      <c r="A362" s="26">
        <v>283</v>
      </c>
      <c r="B362" s="23"/>
      <c r="C362" s="23"/>
      <c r="D362" s="23"/>
    </row>
    <row r="363" spans="1:4" x14ac:dyDescent="0.2">
      <c r="A363" s="26">
        <v>284</v>
      </c>
      <c r="B363" s="23"/>
      <c r="C363" s="23"/>
      <c r="D363" s="23"/>
    </row>
    <row r="364" spans="1:4" x14ac:dyDescent="0.2">
      <c r="A364" s="26">
        <v>285</v>
      </c>
      <c r="B364" s="23"/>
      <c r="C364" s="23"/>
      <c r="D364" s="23"/>
    </row>
    <row r="365" spans="1:4" x14ac:dyDescent="0.2">
      <c r="A365" s="26">
        <v>286</v>
      </c>
      <c r="B365" s="23"/>
      <c r="C365" s="23"/>
      <c r="D365" s="23"/>
    </row>
    <row r="366" spans="1:4" x14ac:dyDescent="0.2">
      <c r="A366" s="26">
        <v>287</v>
      </c>
      <c r="B366" s="23"/>
      <c r="C366" s="23"/>
      <c r="D366" s="23"/>
    </row>
    <row r="367" spans="1:4" x14ac:dyDescent="0.2">
      <c r="A367" s="26">
        <v>288</v>
      </c>
      <c r="B367" s="23"/>
      <c r="C367" s="23"/>
      <c r="D367" s="23"/>
    </row>
    <row r="368" spans="1:4" x14ac:dyDescent="0.2">
      <c r="A368" s="26">
        <v>289</v>
      </c>
      <c r="B368" s="23"/>
      <c r="C368" s="23"/>
      <c r="D368" s="23"/>
    </row>
    <row r="369" spans="1:4" x14ac:dyDescent="0.2">
      <c r="A369" s="26">
        <v>290</v>
      </c>
      <c r="B369" s="23"/>
      <c r="C369" s="23"/>
      <c r="D369" s="23"/>
    </row>
    <row r="370" spans="1:4" x14ac:dyDescent="0.2">
      <c r="A370" s="26">
        <v>291</v>
      </c>
      <c r="B370" s="23"/>
      <c r="C370" s="23"/>
      <c r="D370" s="23"/>
    </row>
    <row r="371" spans="1:4" x14ac:dyDescent="0.2">
      <c r="A371" s="26">
        <v>292</v>
      </c>
      <c r="B371" s="23"/>
      <c r="C371" s="23"/>
      <c r="D371" s="23"/>
    </row>
    <row r="372" spans="1:4" x14ac:dyDescent="0.2">
      <c r="A372" s="26">
        <v>293</v>
      </c>
      <c r="B372" s="23"/>
      <c r="C372" s="23"/>
      <c r="D372" s="23"/>
    </row>
    <row r="373" spans="1:4" x14ac:dyDescent="0.2">
      <c r="A373" s="26">
        <v>294</v>
      </c>
      <c r="B373" s="23"/>
      <c r="C373" s="23"/>
      <c r="D373" s="23"/>
    </row>
    <row r="374" spans="1:4" x14ac:dyDescent="0.2">
      <c r="A374" s="26">
        <v>295</v>
      </c>
      <c r="B374" s="23"/>
      <c r="C374" s="23"/>
      <c r="D374" s="23"/>
    </row>
    <row r="375" spans="1:4" x14ac:dyDescent="0.2">
      <c r="A375" s="26">
        <v>296</v>
      </c>
      <c r="B375" s="23"/>
      <c r="C375" s="23"/>
      <c r="D375" s="23"/>
    </row>
    <row r="376" spans="1:4" x14ac:dyDescent="0.2">
      <c r="A376" s="26">
        <v>297</v>
      </c>
      <c r="B376" s="23"/>
      <c r="C376" s="23"/>
      <c r="D376" s="23"/>
    </row>
    <row r="377" spans="1:4" x14ac:dyDescent="0.2">
      <c r="A377" s="26">
        <v>298</v>
      </c>
      <c r="B377" s="23"/>
      <c r="C377" s="23"/>
      <c r="D377" s="23"/>
    </row>
    <row r="378" spans="1:4" x14ac:dyDescent="0.2">
      <c r="A378" s="26">
        <v>299</v>
      </c>
      <c r="B378" s="23"/>
      <c r="C378" s="23"/>
      <c r="D378" s="23"/>
    </row>
    <row r="379" spans="1:4" x14ac:dyDescent="0.2">
      <c r="A379" s="26">
        <v>300</v>
      </c>
      <c r="B379" s="23"/>
      <c r="C379" s="23"/>
      <c r="D379" s="23"/>
    </row>
    <row r="380" spans="1:4" x14ac:dyDescent="0.2">
      <c r="A380" s="26">
        <v>301</v>
      </c>
      <c r="B380" s="23"/>
      <c r="C380" s="23"/>
      <c r="D380" s="23"/>
    </row>
    <row r="381" spans="1:4" x14ac:dyDescent="0.2">
      <c r="A381" s="26">
        <v>302</v>
      </c>
      <c r="B381" s="23"/>
      <c r="C381" s="23"/>
      <c r="D381" s="23"/>
    </row>
    <row r="382" spans="1:4" x14ac:dyDescent="0.2">
      <c r="A382" s="26">
        <v>303</v>
      </c>
      <c r="B382" s="23"/>
      <c r="C382" s="23"/>
      <c r="D382" s="23"/>
    </row>
    <row r="383" spans="1:4" x14ac:dyDescent="0.2">
      <c r="A383" s="26">
        <v>304</v>
      </c>
      <c r="B383" s="23"/>
      <c r="C383" s="23"/>
      <c r="D383" s="23"/>
    </row>
    <row r="384" spans="1:4" x14ac:dyDescent="0.2">
      <c r="A384" s="26">
        <v>305</v>
      </c>
      <c r="B384" s="23"/>
      <c r="C384" s="23"/>
      <c r="D384" s="23"/>
    </row>
    <row r="385" spans="1:4" x14ac:dyDescent="0.2">
      <c r="A385" s="26">
        <v>306</v>
      </c>
      <c r="B385" s="23"/>
      <c r="C385" s="23"/>
      <c r="D385" s="23"/>
    </row>
    <row r="386" spans="1:4" x14ac:dyDescent="0.2">
      <c r="A386" s="26">
        <v>307</v>
      </c>
      <c r="B386" s="23"/>
      <c r="C386" s="23"/>
      <c r="D386" s="23"/>
    </row>
    <row r="387" spans="1:4" x14ac:dyDescent="0.2">
      <c r="A387" s="26">
        <v>308</v>
      </c>
      <c r="B387" s="23"/>
      <c r="C387" s="23"/>
      <c r="D387" s="23"/>
    </row>
    <row r="388" spans="1:4" x14ac:dyDescent="0.2">
      <c r="A388" s="26">
        <v>309</v>
      </c>
      <c r="B388" s="23"/>
      <c r="C388" s="23"/>
      <c r="D388" s="23"/>
    </row>
    <row r="389" spans="1:4" x14ac:dyDescent="0.2">
      <c r="A389" s="26">
        <v>310</v>
      </c>
      <c r="B389" s="23"/>
      <c r="C389" s="23"/>
      <c r="D389" s="23"/>
    </row>
    <row r="390" spans="1:4" x14ac:dyDescent="0.2">
      <c r="A390" s="26">
        <v>311</v>
      </c>
      <c r="B390" s="23"/>
      <c r="C390" s="23"/>
      <c r="D390" s="23"/>
    </row>
    <row r="391" spans="1:4" x14ac:dyDescent="0.2">
      <c r="A391" s="26">
        <v>312</v>
      </c>
      <c r="B391" s="23"/>
      <c r="C391" s="23"/>
      <c r="D391" s="23"/>
    </row>
    <row r="392" spans="1:4" x14ac:dyDescent="0.2">
      <c r="A392" s="26">
        <v>313</v>
      </c>
      <c r="B392" s="23"/>
      <c r="C392" s="23"/>
      <c r="D392" s="23"/>
    </row>
    <row r="393" spans="1:4" x14ac:dyDescent="0.2">
      <c r="A393" s="26">
        <v>314</v>
      </c>
      <c r="B393" s="23"/>
      <c r="C393" s="23"/>
      <c r="D393" s="23"/>
    </row>
    <row r="394" spans="1:4" x14ac:dyDescent="0.2">
      <c r="A394" s="26">
        <v>315</v>
      </c>
      <c r="B394" s="23"/>
      <c r="C394" s="23"/>
      <c r="D394" s="23"/>
    </row>
    <row r="395" spans="1:4" x14ac:dyDescent="0.2">
      <c r="A395" s="26">
        <v>316</v>
      </c>
      <c r="B395" s="23"/>
      <c r="C395" s="23"/>
      <c r="D395" s="23"/>
    </row>
    <row r="396" spans="1:4" x14ac:dyDescent="0.2">
      <c r="A396" s="26">
        <v>317</v>
      </c>
      <c r="B396" s="23"/>
      <c r="C396" s="23"/>
      <c r="D396" s="23"/>
    </row>
    <row r="397" spans="1:4" x14ac:dyDescent="0.2">
      <c r="A397" s="26">
        <v>318</v>
      </c>
      <c r="B397" s="23"/>
      <c r="C397" s="23"/>
      <c r="D397" s="23"/>
    </row>
    <row r="398" spans="1:4" x14ac:dyDescent="0.2">
      <c r="A398" s="26">
        <v>319</v>
      </c>
      <c r="B398" s="23"/>
      <c r="C398" s="23"/>
      <c r="D398" s="23"/>
    </row>
    <row r="399" spans="1:4" x14ac:dyDescent="0.2">
      <c r="A399" s="26">
        <v>320</v>
      </c>
      <c r="B399" s="23"/>
      <c r="C399" s="23"/>
      <c r="D399" s="23"/>
    </row>
    <row r="400" spans="1:4" x14ac:dyDescent="0.2">
      <c r="A400" s="26">
        <v>321</v>
      </c>
      <c r="B400" s="23"/>
      <c r="C400" s="23"/>
      <c r="D400" s="23"/>
    </row>
    <row r="401" spans="1:4" x14ac:dyDescent="0.2">
      <c r="A401" s="26">
        <v>322</v>
      </c>
      <c r="B401" s="23"/>
      <c r="C401" s="23"/>
      <c r="D401" s="23"/>
    </row>
    <row r="402" spans="1:4" x14ac:dyDescent="0.2">
      <c r="A402" s="26">
        <v>323</v>
      </c>
      <c r="B402" s="23"/>
      <c r="C402" s="23"/>
      <c r="D402" s="23"/>
    </row>
    <row r="403" spans="1:4" x14ac:dyDescent="0.2">
      <c r="A403" s="26">
        <v>324</v>
      </c>
      <c r="B403" s="23"/>
      <c r="C403" s="23"/>
      <c r="D403" s="23"/>
    </row>
    <row r="404" spans="1:4" x14ac:dyDescent="0.2">
      <c r="A404" s="26">
        <v>325</v>
      </c>
      <c r="B404" s="23"/>
      <c r="C404" s="23"/>
      <c r="D404" s="23"/>
    </row>
    <row r="405" spans="1:4" x14ac:dyDescent="0.2">
      <c r="A405" s="26">
        <v>326</v>
      </c>
      <c r="B405" s="23"/>
      <c r="C405" s="23"/>
      <c r="D405" s="23"/>
    </row>
    <row r="406" spans="1:4" x14ac:dyDescent="0.2">
      <c r="A406" s="26">
        <v>327</v>
      </c>
      <c r="B406" s="23"/>
      <c r="C406" s="23"/>
      <c r="D406" s="23"/>
    </row>
    <row r="407" spans="1:4" x14ac:dyDescent="0.2">
      <c r="A407" s="26">
        <v>328</v>
      </c>
      <c r="B407" s="23"/>
      <c r="C407" s="23"/>
      <c r="D407" s="23"/>
    </row>
    <row r="408" spans="1:4" x14ac:dyDescent="0.2">
      <c r="A408" s="26">
        <v>329</v>
      </c>
      <c r="B408" s="23"/>
      <c r="C408" s="23"/>
      <c r="D408" s="23"/>
    </row>
    <row r="409" spans="1:4" x14ac:dyDescent="0.2">
      <c r="A409" s="26">
        <v>330</v>
      </c>
      <c r="B409" s="23"/>
      <c r="C409" s="23"/>
      <c r="D409" s="23"/>
    </row>
    <row r="410" spans="1:4" x14ac:dyDescent="0.2">
      <c r="A410" s="26">
        <v>331</v>
      </c>
      <c r="B410" s="23"/>
      <c r="C410" s="23"/>
      <c r="D410" s="23"/>
    </row>
    <row r="411" spans="1:4" x14ac:dyDescent="0.2">
      <c r="A411" s="26">
        <v>332</v>
      </c>
      <c r="B411" s="23"/>
      <c r="C411" s="23"/>
      <c r="D411" s="23"/>
    </row>
    <row r="412" spans="1:4" x14ac:dyDescent="0.2">
      <c r="A412" s="26">
        <v>333</v>
      </c>
      <c r="B412" s="23"/>
      <c r="C412" s="23"/>
      <c r="D412" s="23"/>
    </row>
    <row r="413" spans="1:4" x14ac:dyDescent="0.2">
      <c r="A413" s="26">
        <v>334</v>
      </c>
      <c r="B413" s="23"/>
      <c r="C413" s="23"/>
      <c r="D413" s="23"/>
    </row>
    <row r="414" spans="1:4" x14ac:dyDescent="0.2">
      <c r="A414" s="26">
        <v>335</v>
      </c>
      <c r="B414" s="23"/>
      <c r="C414" s="23"/>
      <c r="D414" s="23"/>
    </row>
    <row r="415" spans="1:4" x14ac:dyDescent="0.2">
      <c r="A415" s="26">
        <v>336</v>
      </c>
      <c r="B415" s="23"/>
      <c r="C415" s="23"/>
      <c r="D415" s="23"/>
    </row>
    <row r="416" spans="1:4" x14ac:dyDescent="0.2">
      <c r="A416" s="26">
        <v>337</v>
      </c>
      <c r="B416" s="23"/>
      <c r="C416" s="23"/>
      <c r="D416" s="23"/>
    </row>
    <row r="417" spans="1:4" x14ac:dyDescent="0.2">
      <c r="A417" s="26">
        <v>338</v>
      </c>
      <c r="B417" s="23"/>
      <c r="C417" s="23"/>
      <c r="D417" s="23"/>
    </row>
    <row r="418" spans="1:4" x14ac:dyDescent="0.2">
      <c r="A418" s="26">
        <v>339</v>
      </c>
      <c r="B418" s="23"/>
      <c r="C418" s="23"/>
      <c r="D418" s="23"/>
    </row>
    <row r="419" spans="1:4" x14ac:dyDescent="0.2">
      <c r="A419" s="26">
        <v>340</v>
      </c>
      <c r="B419" s="23"/>
      <c r="C419" s="23"/>
      <c r="D419" s="23"/>
    </row>
    <row r="420" spans="1:4" x14ac:dyDescent="0.2">
      <c r="A420" s="26">
        <v>341</v>
      </c>
      <c r="B420" s="23"/>
      <c r="C420" s="23"/>
      <c r="D420" s="23"/>
    </row>
    <row r="421" spans="1:4" x14ac:dyDescent="0.2">
      <c r="A421" s="26">
        <v>342</v>
      </c>
      <c r="B421" s="23"/>
      <c r="C421" s="23"/>
      <c r="D421" s="23"/>
    </row>
    <row r="422" spans="1:4" x14ac:dyDescent="0.2">
      <c r="A422" s="26">
        <v>343</v>
      </c>
      <c r="B422" s="23"/>
      <c r="C422" s="23"/>
      <c r="D422" s="23"/>
    </row>
    <row r="423" spans="1:4" x14ac:dyDescent="0.2">
      <c r="A423" s="26">
        <v>344</v>
      </c>
      <c r="B423" s="23"/>
      <c r="C423" s="23"/>
      <c r="D423" s="23"/>
    </row>
    <row r="424" spans="1:4" x14ac:dyDescent="0.2">
      <c r="A424" s="26">
        <v>345</v>
      </c>
      <c r="B424" s="23"/>
      <c r="C424" s="23"/>
      <c r="D424" s="23"/>
    </row>
    <row r="425" spans="1:4" x14ac:dyDescent="0.2">
      <c r="A425" s="26">
        <v>346</v>
      </c>
      <c r="B425" s="23"/>
      <c r="C425" s="23"/>
      <c r="D425" s="23"/>
    </row>
    <row r="426" spans="1:4" x14ac:dyDescent="0.2">
      <c r="A426" s="26">
        <v>347</v>
      </c>
      <c r="B426" s="23"/>
      <c r="C426" s="23"/>
      <c r="D426" s="23"/>
    </row>
    <row r="427" spans="1:4" x14ac:dyDescent="0.2">
      <c r="A427" s="26">
        <v>348</v>
      </c>
      <c r="B427" s="23"/>
      <c r="C427" s="23"/>
      <c r="D427" s="23"/>
    </row>
    <row r="428" spans="1:4" x14ac:dyDescent="0.2">
      <c r="A428" s="26">
        <v>349</v>
      </c>
      <c r="B428" s="23"/>
      <c r="C428" s="23"/>
      <c r="D428" s="23"/>
    </row>
    <row r="429" spans="1:4" x14ac:dyDescent="0.2">
      <c r="A429" s="26">
        <v>350</v>
      </c>
      <c r="B429" s="23"/>
      <c r="C429" s="23"/>
      <c r="D429" s="23"/>
    </row>
    <row r="430" spans="1:4" x14ac:dyDescent="0.2">
      <c r="A430" s="26">
        <v>351</v>
      </c>
      <c r="B430" s="23"/>
      <c r="C430" s="23"/>
      <c r="D430" s="23"/>
    </row>
    <row r="431" spans="1:4" x14ac:dyDescent="0.2">
      <c r="A431" s="26">
        <v>352</v>
      </c>
      <c r="B431" s="23"/>
      <c r="C431" s="23"/>
      <c r="D431" s="23"/>
    </row>
    <row r="432" spans="1:4" x14ac:dyDescent="0.2">
      <c r="A432" s="26">
        <v>353</v>
      </c>
      <c r="B432" s="23"/>
      <c r="C432" s="23"/>
      <c r="D432" s="23"/>
    </row>
    <row r="433" spans="1:4" x14ac:dyDescent="0.2">
      <c r="A433" s="26">
        <v>354</v>
      </c>
      <c r="B433" s="23"/>
      <c r="C433" s="23"/>
      <c r="D433" s="23"/>
    </row>
    <row r="434" spans="1:4" x14ac:dyDescent="0.2">
      <c r="A434" s="26">
        <v>355</v>
      </c>
      <c r="B434" s="23"/>
      <c r="C434" s="23"/>
      <c r="D434" s="23"/>
    </row>
    <row r="435" spans="1:4" x14ac:dyDescent="0.2">
      <c r="A435" s="26">
        <v>356</v>
      </c>
      <c r="B435" s="23"/>
      <c r="C435" s="23"/>
      <c r="D435" s="23"/>
    </row>
    <row r="436" spans="1:4" x14ac:dyDescent="0.2">
      <c r="A436" s="26">
        <v>357</v>
      </c>
      <c r="B436" s="23"/>
      <c r="C436" s="23"/>
      <c r="D436" s="23"/>
    </row>
    <row r="437" spans="1:4" x14ac:dyDescent="0.2">
      <c r="A437" s="26">
        <v>358</v>
      </c>
      <c r="B437" s="23"/>
      <c r="C437" s="23"/>
      <c r="D437" s="23"/>
    </row>
    <row r="438" spans="1:4" x14ac:dyDescent="0.2">
      <c r="A438" s="26">
        <v>359</v>
      </c>
      <c r="B438" s="23"/>
      <c r="C438" s="23"/>
      <c r="D438" s="23"/>
    </row>
    <row r="439" spans="1:4" x14ac:dyDescent="0.2">
      <c r="A439" s="26">
        <v>360</v>
      </c>
      <c r="B439" s="23"/>
      <c r="C439" s="23"/>
      <c r="D439" s="23"/>
    </row>
    <row r="440" spans="1:4" x14ac:dyDescent="0.2">
      <c r="A440" s="26">
        <v>361</v>
      </c>
      <c r="B440" s="23"/>
      <c r="C440" s="23"/>
      <c r="D440" s="23"/>
    </row>
    <row r="441" spans="1:4" x14ac:dyDescent="0.2">
      <c r="A441" s="26">
        <v>362</v>
      </c>
      <c r="B441" s="23"/>
      <c r="C441" s="23"/>
      <c r="D441" s="23"/>
    </row>
    <row r="442" spans="1:4" x14ac:dyDescent="0.2">
      <c r="A442" s="26">
        <v>363</v>
      </c>
      <c r="B442" s="23"/>
      <c r="C442" s="23"/>
      <c r="D442" s="23"/>
    </row>
    <row r="443" spans="1:4" x14ac:dyDescent="0.2">
      <c r="A443" s="26">
        <v>364</v>
      </c>
      <c r="B443" s="23"/>
      <c r="C443" s="23"/>
      <c r="D443" s="23"/>
    </row>
    <row r="444" spans="1:4" x14ac:dyDescent="0.2">
      <c r="A444" s="26">
        <v>365</v>
      </c>
      <c r="B444" s="23"/>
      <c r="C444" s="23"/>
      <c r="D444" s="23"/>
    </row>
    <row r="445" spans="1:4" x14ac:dyDescent="0.2">
      <c r="A445" s="26">
        <v>366</v>
      </c>
      <c r="B445" s="23"/>
      <c r="C445" s="23"/>
      <c r="D445" s="23"/>
    </row>
    <row r="446" spans="1:4" x14ac:dyDescent="0.2">
      <c r="A446" s="26">
        <v>367</v>
      </c>
      <c r="B446" s="23"/>
      <c r="C446" s="23"/>
      <c r="D446" s="23"/>
    </row>
    <row r="447" spans="1:4" x14ac:dyDescent="0.2">
      <c r="A447" s="26">
        <v>368</v>
      </c>
      <c r="B447" s="23"/>
      <c r="C447" s="23"/>
      <c r="D447" s="23"/>
    </row>
    <row r="448" spans="1:4" x14ac:dyDescent="0.2">
      <c r="A448" s="26">
        <v>369</v>
      </c>
      <c r="B448" s="23"/>
      <c r="C448" s="23"/>
      <c r="D448" s="23"/>
    </row>
    <row r="449" spans="1:4" x14ac:dyDescent="0.2">
      <c r="A449" s="26">
        <v>370</v>
      </c>
      <c r="B449" s="23"/>
      <c r="C449" s="23"/>
      <c r="D449" s="23"/>
    </row>
    <row r="450" spans="1:4" x14ac:dyDescent="0.2">
      <c r="A450" s="26">
        <v>371</v>
      </c>
      <c r="B450" s="23"/>
      <c r="C450" s="23"/>
      <c r="D450" s="23"/>
    </row>
    <row r="451" spans="1:4" x14ac:dyDescent="0.2">
      <c r="A451" s="26">
        <v>372</v>
      </c>
      <c r="B451" s="23"/>
      <c r="C451" s="23"/>
      <c r="D451" s="23"/>
    </row>
    <row r="452" spans="1:4" x14ac:dyDescent="0.2">
      <c r="A452" s="26">
        <v>373</v>
      </c>
      <c r="B452" s="23"/>
      <c r="C452" s="23"/>
      <c r="D452" s="23"/>
    </row>
    <row r="453" spans="1:4" x14ac:dyDescent="0.2">
      <c r="A453" s="26">
        <v>374</v>
      </c>
      <c r="B453" s="23"/>
      <c r="C453" s="23"/>
      <c r="D453" s="23"/>
    </row>
    <row r="454" spans="1:4" x14ac:dyDescent="0.2">
      <c r="A454" s="26">
        <v>375</v>
      </c>
      <c r="B454" s="23"/>
      <c r="C454" s="23"/>
      <c r="D454" s="23"/>
    </row>
    <row r="455" spans="1:4" x14ac:dyDescent="0.2">
      <c r="A455" s="26">
        <v>376</v>
      </c>
      <c r="B455" s="23"/>
      <c r="C455" s="23"/>
      <c r="D455" s="23"/>
    </row>
    <row r="456" spans="1:4" x14ac:dyDescent="0.2">
      <c r="A456" s="26">
        <v>377</v>
      </c>
      <c r="B456" s="23"/>
      <c r="C456" s="23"/>
      <c r="D456" s="23"/>
    </row>
    <row r="457" spans="1:4" x14ac:dyDescent="0.2">
      <c r="A457" s="26">
        <v>378</v>
      </c>
      <c r="B457" s="23"/>
      <c r="C457" s="23"/>
      <c r="D457" s="23"/>
    </row>
    <row r="458" spans="1:4" x14ac:dyDescent="0.2">
      <c r="A458" s="26">
        <v>379</v>
      </c>
      <c r="B458" s="23"/>
      <c r="C458" s="23"/>
      <c r="D458" s="23"/>
    </row>
    <row r="459" spans="1:4" x14ac:dyDescent="0.2">
      <c r="A459" s="26">
        <v>380</v>
      </c>
      <c r="B459" s="23"/>
      <c r="C459" s="23"/>
      <c r="D459" s="23"/>
    </row>
    <row r="460" spans="1:4" x14ac:dyDescent="0.2">
      <c r="A460" s="26">
        <v>381</v>
      </c>
      <c r="B460" s="23"/>
      <c r="C460" s="23"/>
      <c r="D460" s="23"/>
    </row>
    <row r="461" spans="1:4" x14ac:dyDescent="0.2">
      <c r="A461" s="26">
        <v>382</v>
      </c>
      <c r="B461" s="23"/>
      <c r="C461" s="23"/>
      <c r="D461" s="23"/>
    </row>
    <row r="462" spans="1:4" x14ac:dyDescent="0.2">
      <c r="A462" s="26">
        <v>383</v>
      </c>
      <c r="B462" s="23"/>
      <c r="C462" s="23"/>
      <c r="D462" s="23"/>
    </row>
    <row r="463" spans="1:4" x14ac:dyDescent="0.2">
      <c r="A463" s="26">
        <v>384</v>
      </c>
      <c r="B463" s="23"/>
      <c r="C463" s="23"/>
      <c r="D463" s="23"/>
    </row>
    <row r="464" spans="1:4" x14ac:dyDescent="0.2">
      <c r="A464" s="26">
        <v>385</v>
      </c>
      <c r="B464" s="23"/>
      <c r="C464" s="23"/>
      <c r="D464" s="23"/>
    </row>
    <row r="465" spans="1:4" x14ac:dyDescent="0.2">
      <c r="A465" s="26">
        <v>386</v>
      </c>
      <c r="B465" s="23"/>
      <c r="C465" s="23"/>
      <c r="D465" s="23"/>
    </row>
    <row r="466" spans="1:4" x14ac:dyDescent="0.2">
      <c r="A466" s="26">
        <v>387</v>
      </c>
      <c r="B466" s="23"/>
      <c r="C466" s="23"/>
      <c r="D466" s="23"/>
    </row>
    <row r="467" spans="1:4" x14ac:dyDescent="0.2">
      <c r="A467" s="26">
        <v>388</v>
      </c>
      <c r="B467" s="23"/>
      <c r="C467" s="23"/>
      <c r="D467" s="23"/>
    </row>
    <row r="468" spans="1:4" x14ac:dyDescent="0.2">
      <c r="A468" s="26">
        <v>389</v>
      </c>
      <c r="B468" s="23"/>
      <c r="C468" s="23"/>
      <c r="D468" s="23"/>
    </row>
    <row r="469" spans="1:4" x14ac:dyDescent="0.2">
      <c r="A469" s="26">
        <v>390</v>
      </c>
      <c r="B469" s="23"/>
      <c r="C469" s="23"/>
      <c r="D469" s="23"/>
    </row>
    <row r="470" spans="1:4" x14ac:dyDescent="0.2">
      <c r="A470" s="26">
        <v>391</v>
      </c>
      <c r="B470" s="23"/>
      <c r="C470" s="23"/>
      <c r="D470" s="23"/>
    </row>
    <row r="471" spans="1:4" x14ac:dyDescent="0.2">
      <c r="A471" s="26">
        <v>392</v>
      </c>
      <c r="B471" s="23"/>
      <c r="C471" s="23"/>
      <c r="D471" s="23"/>
    </row>
    <row r="472" spans="1:4" x14ac:dyDescent="0.2">
      <c r="A472" s="26">
        <v>393</v>
      </c>
      <c r="B472" s="23"/>
      <c r="C472" s="23"/>
      <c r="D472" s="23"/>
    </row>
    <row r="473" spans="1:4" x14ac:dyDescent="0.2">
      <c r="A473" s="26">
        <v>394</v>
      </c>
      <c r="B473" s="23"/>
      <c r="C473" s="23"/>
      <c r="D473" s="23"/>
    </row>
    <row r="474" spans="1:4" x14ac:dyDescent="0.2">
      <c r="A474" s="26">
        <v>395</v>
      </c>
      <c r="B474" s="23"/>
      <c r="C474" s="23"/>
      <c r="D474" s="23"/>
    </row>
    <row r="475" spans="1:4" x14ac:dyDescent="0.2">
      <c r="A475" s="26">
        <v>396</v>
      </c>
      <c r="B475" s="23"/>
      <c r="C475" s="23"/>
      <c r="D475" s="23"/>
    </row>
    <row r="476" spans="1:4" x14ac:dyDescent="0.2">
      <c r="A476" s="26">
        <v>397</v>
      </c>
      <c r="B476" s="23"/>
      <c r="C476" s="23"/>
      <c r="D476" s="23"/>
    </row>
    <row r="477" spans="1:4" x14ac:dyDescent="0.2">
      <c r="A477" s="26">
        <v>398</v>
      </c>
      <c r="B477" s="23"/>
      <c r="C477" s="23"/>
      <c r="D477" s="23"/>
    </row>
    <row r="478" spans="1:4" x14ac:dyDescent="0.2">
      <c r="A478" s="26">
        <v>399</v>
      </c>
      <c r="B478" s="23"/>
      <c r="C478" s="23"/>
      <c r="D478" s="23"/>
    </row>
    <row r="479" spans="1:4" x14ac:dyDescent="0.2">
      <c r="A479" s="26">
        <v>400</v>
      </c>
      <c r="B479" s="23"/>
      <c r="C479" s="23"/>
      <c r="D479" s="23"/>
    </row>
    <row r="480" spans="1:4" x14ac:dyDescent="0.2">
      <c r="A480" s="23"/>
      <c r="B480" s="23"/>
      <c r="C480" s="23"/>
      <c r="D480" s="2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E7A0-5FC7-8C46-9378-12741E521CD7}">
  <dimension ref="A1:P105"/>
  <sheetViews>
    <sheetView zoomScaleNormal="100" workbookViewId="0">
      <selection activeCell="C22" sqref="C22"/>
    </sheetView>
  </sheetViews>
  <sheetFormatPr baseColWidth="10" defaultRowHeight="16" x14ac:dyDescent="0.2"/>
  <cols>
    <col min="1" max="1" width="4.1640625" bestFit="1" customWidth="1"/>
    <col min="2" max="2" width="4.33203125" bestFit="1" customWidth="1"/>
    <col min="3" max="3" width="101.83203125" customWidth="1"/>
    <col min="4" max="5" width="6" bestFit="1" customWidth="1"/>
    <col min="6" max="6" width="34" hidden="1" customWidth="1"/>
    <col min="7" max="7" width="11.5" hidden="1" customWidth="1"/>
    <col min="8" max="8" width="5.33203125" hidden="1" customWidth="1"/>
    <col min="9" max="9" width="11.5" hidden="1" customWidth="1"/>
    <col min="10" max="10" width="37.1640625" hidden="1" customWidth="1"/>
    <col min="11" max="11" width="80.83203125" customWidth="1"/>
    <col min="12" max="12" width="220.83203125" customWidth="1"/>
    <col min="13" max="13" width="120.83203125" customWidth="1"/>
    <col min="14" max="15" width="60.83203125" customWidth="1"/>
    <col min="16" max="16" width="80.83203125" customWidth="1"/>
  </cols>
  <sheetData>
    <row r="1" spans="1:16" ht="19" x14ac:dyDescent="0.25">
      <c r="A1" s="34" t="s">
        <v>355</v>
      </c>
      <c r="B1" s="34"/>
      <c r="C1" s="34"/>
      <c r="D1" s="34"/>
      <c r="E1" s="34"/>
    </row>
    <row r="2" spans="1:16" ht="17" thickBot="1" x14ac:dyDescent="0.25"/>
    <row r="3" spans="1:16" ht="20" thickTop="1" x14ac:dyDescent="0.25">
      <c r="A3" s="30" t="s">
        <v>125</v>
      </c>
      <c r="B3" s="30" t="s">
        <v>339</v>
      </c>
      <c r="C3" s="30" t="s">
        <v>340</v>
      </c>
      <c r="D3" s="30" t="s">
        <v>345</v>
      </c>
      <c r="E3" s="30" t="s">
        <v>346</v>
      </c>
      <c r="F3" s="30" t="s">
        <v>341</v>
      </c>
      <c r="G3" s="30" t="s">
        <v>342</v>
      </c>
      <c r="H3" s="30" t="s">
        <v>343</v>
      </c>
      <c r="I3" s="30" t="s">
        <v>344</v>
      </c>
      <c r="J3" s="30" t="s">
        <v>347</v>
      </c>
      <c r="K3" s="15" t="s">
        <v>353</v>
      </c>
      <c r="L3" s="30" t="s">
        <v>348</v>
      </c>
      <c r="M3" s="30" t="s">
        <v>349</v>
      </c>
      <c r="N3" s="30" t="s">
        <v>351</v>
      </c>
      <c r="O3" s="30" t="s">
        <v>350</v>
      </c>
      <c r="P3" s="32" t="s">
        <v>354</v>
      </c>
    </row>
    <row r="4" spans="1:16" ht="16" customHeight="1" thickBo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16" t="s">
        <v>352</v>
      </c>
      <c r="L4" s="31"/>
      <c r="M4" s="31"/>
      <c r="N4" s="31"/>
      <c r="O4" s="31"/>
      <c r="P4" s="33"/>
    </row>
    <row r="5" spans="1:16" ht="17" thickTop="1" x14ac:dyDescent="0.2">
      <c r="A5" s="13">
        <v>1</v>
      </c>
      <c r="B5" s="17" t="s">
        <v>337</v>
      </c>
      <c r="C5" s="17" t="s">
        <v>338</v>
      </c>
      <c r="D5" s="17"/>
      <c r="E5" s="17"/>
      <c r="F5" s="13" t="str">
        <f t="shared" ref="F5:F32" si="0">IFERROR(MID(C5,(FIND("`",C5)+1),(FIND("` ",C5)-(FIND("`",C5)+1))),"")</f>
        <v>id</v>
      </c>
      <c r="G5" s="13" t="str">
        <f>IFERROR(MID(C5,(FIND("` ",C5)+2),(IFERROR(FIND("NOT",C5),FIND("DEFAULT",C5))-(FIND("` ",C5)+3))),"")</f>
        <v>int(11)</v>
      </c>
      <c r="H5" s="13" t="str">
        <f t="shared" ref="H5:H32" si="1">IFERROR(MID(C5,(FIND("(",C5)+1),(FIND(")",C5)-(FIND("(",C5)+1))),"")</f>
        <v>11</v>
      </c>
      <c r="I5" s="13" t="str">
        <f>IF((IFERROR(FIND("NOT NULL",C5),0))&gt;0,"true","false")</f>
        <v>true</v>
      </c>
      <c r="J5" s="13" t="str">
        <f>CONCATENATE(B5,F5,", ")</f>
        <v xml:space="preserve">p_id, </v>
      </c>
      <c r="K5" s="13" t="str">
        <f>CONCATENATE(K$4,"['",F5,"'] = '';")</f>
        <v>$rsPessoa['id'] = '';</v>
      </c>
      <c r="L5" s="13" t="str">
        <f>CONCATENATE("'name' =&gt; '",B5,F5,"',    ","'id' =&gt; '",B5,F5,"',    ","'maxlength' =&gt; ",H5,",    ","'value' =&gt; ",K$4,"['",F5,"'],    ","'required' =&gt; ",I5)</f>
        <v>'name' =&gt; 'p_id',    'id' =&gt; 'p_id',    'maxlength' =&gt; 11,    'value' =&gt; $rsPessoa['id'],    'required' =&gt; true</v>
      </c>
      <c r="M5" s="13" t="str">
        <f>CONCATENATE("$",F5,"    = ",IF(OR(IFERROR(FIND("dt_",F5),0)&gt;0,IFERROR(FIND("_id",F5),0)&gt;0,F5="status"),"","ucwords(strtolower(trim("),"strip_tags(@$_POST['",B5,F5,"']?: ",IF(F5="status","0)","'')"),IF(OR(IFERROR(FIND("dt_",F5),0)&gt;0,IFERROR(FIND("_id",F5),0)&gt;0,F5="status"),";",")));"))</f>
        <v>$id    = ucwords(strtolower(trim(strip_tags(@$_POST['p_id']?: ''))));</v>
      </c>
      <c r="N5" s="13" t="str">
        <f>CONCATENATE(F5," = ?,")</f>
        <v>id = ?,</v>
      </c>
      <c r="O5" s="13" t="str">
        <f t="shared" ref="O5:O36" si="2">CONCATENATE(F5,",")</f>
        <v>id,</v>
      </c>
      <c r="P5" s="14" t="str">
        <f>CONCATENATE("$stmt-&gt;bindValue(",A5,", $",F5,IF(OR(IFERROR(FIND("dt_",F5),0)&gt;0,IFERROR(FIND("_id",F5),0)&gt;0),"?: NULL);",");"))</f>
        <v>$stmt-&gt;bindValue(1, $id);</v>
      </c>
    </row>
    <row r="6" spans="1:16" x14ac:dyDescent="0.2">
      <c r="A6" s="9">
        <v>2</v>
      </c>
      <c r="B6" s="18" t="s">
        <v>337</v>
      </c>
      <c r="C6" s="18" t="s">
        <v>310</v>
      </c>
      <c r="D6" s="18"/>
      <c r="E6" s="18"/>
      <c r="F6" s="9" t="str">
        <f t="shared" si="0"/>
        <v>status</v>
      </c>
      <c r="G6" s="9" t="str">
        <f t="shared" ref="G6:G32" si="3">IFERROR(MID(C6,(FIND("` ",C6)+2),(IFERROR(FIND("NOT",C6),FIND("DEFAULT",C6))-(FIND("` ",C6)+3))),"")</f>
        <v>tinyint(1)</v>
      </c>
      <c r="H6" s="9" t="str">
        <f t="shared" si="1"/>
        <v>1</v>
      </c>
      <c r="I6" s="9" t="str">
        <f>IF((IFERROR(FIND("NOT NULL",C6),0))&gt;0,"true","false")</f>
        <v>true</v>
      </c>
      <c r="J6" s="9" t="str">
        <f t="shared" ref="J6:J69" si="4">CONCATENATE(B6,F6,", ")</f>
        <v xml:space="preserve">p_status, </v>
      </c>
      <c r="K6" s="9" t="str">
        <f t="shared" ref="K6:K69" si="5">CONCATENATE(K$4,"['",F6,"'] = '';")</f>
        <v>$rsPessoa['status'] = '';</v>
      </c>
      <c r="L6" s="9" t="str">
        <f t="shared" ref="L6:L69" si="6">CONCATENATE("'name' =&gt; '",B6,F6,"',    ","'id' =&gt; '",B6,F6,"',    ","'maxlength' =&gt; ",H6,",    ","'value' =&gt; ",K$4,"['",F6,"'],    ","'required' =&gt; ",I6)</f>
        <v>'name' =&gt; 'p_status',    'id' =&gt; 'p_status',    'maxlength' =&gt; 1,    'value' =&gt; $rsPessoa['status'],    'required' =&gt; true</v>
      </c>
      <c r="M6" s="13" t="str">
        <f t="shared" ref="M6:M69" si="7">CONCATENATE("$",F6,"    = ",IF(OR(IFERROR(FIND("dt_",F6),0)&gt;0,IFERROR(FIND("_id",F6),0)&gt;0,F6="status"),"","ucwords(strtolower(trim("),"strip_tags(@$_POST['",B6,F6,"']?: ",IF(F6="status","0)","'')"),IF(OR(IFERROR(FIND("dt_",F6),0)&gt;0,IFERROR(FIND("_id",F6),0)&gt;0,F6="status"),";",")));"))</f>
        <v>$status    = strip_tags(@$_POST['p_status']?: 0);</v>
      </c>
      <c r="N6" s="9" t="str">
        <f t="shared" ref="N6:N69" si="8">CONCATENATE(F6," = ?,")</f>
        <v>status = ?,</v>
      </c>
      <c r="O6" s="9" t="str">
        <f t="shared" si="2"/>
        <v>status,</v>
      </c>
      <c r="P6" s="10" t="str">
        <f t="shared" ref="P6:P69" si="9">CONCATENATE("$stmt-&gt;bindValue(",A6,", $",F6,IF(OR(IFERROR(FIND("dt_",F6),0)&gt;0,IFERROR(FIND("_id",F6),0)&gt;0),"?: NULL);",");"))</f>
        <v>$stmt-&gt;bindValue(2, $status);</v>
      </c>
    </row>
    <row r="7" spans="1:16" x14ac:dyDescent="0.2">
      <c r="A7" s="9">
        <v>3</v>
      </c>
      <c r="B7" s="18" t="s">
        <v>337</v>
      </c>
      <c r="C7" s="18" t="s">
        <v>311</v>
      </c>
      <c r="D7" s="18"/>
      <c r="E7" s="18"/>
      <c r="F7" s="9" t="str">
        <f t="shared" si="0"/>
        <v>dt_cadastro</v>
      </c>
      <c r="G7" s="9" t="str">
        <f t="shared" si="3"/>
        <v>timestamp</v>
      </c>
      <c r="H7" s="9" t="str">
        <f t="shared" si="1"/>
        <v/>
      </c>
      <c r="I7" s="9" t="str">
        <f t="shared" ref="I7:I70" si="10">IF((IFERROR(FIND("NOT NULL",C7),0))&gt;0,"true","false")</f>
        <v>true</v>
      </c>
      <c r="J7" s="9" t="str">
        <f t="shared" si="4"/>
        <v xml:space="preserve">p_dt_cadastro, </v>
      </c>
      <c r="K7" s="9" t="str">
        <f t="shared" si="5"/>
        <v>$rsPessoa['dt_cadastro'] = '';</v>
      </c>
      <c r="L7" s="9" t="str">
        <f t="shared" si="6"/>
        <v>'name' =&gt; 'p_dt_cadastro',    'id' =&gt; 'p_dt_cadastro',    'maxlength' =&gt; ,    'value' =&gt; $rsPessoa['dt_cadastro'],    'required' =&gt; true</v>
      </c>
      <c r="M7" s="13" t="str">
        <f t="shared" si="7"/>
        <v>$dt_cadastro    = strip_tags(@$_POST['p_dt_cadastro']?: '');</v>
      </c>
      <c r="N7" s="9" t="str">
        <f t="shared" si="8"/>
        <v>dt_cadastro = ?,</v>
      </c>
      <c r="O7" s="9" t="str">
        <f t="shared" si="2"/>
        <v>dt_cadastro,</v>
      </c>
      <c r="P7" s="10" t="str">
        <f t="shared" si="9"/>
        <v>$stmt-&gt;bindValue(3, $dt_cadastro?: NULL);</v>
      </c>
    </row>
    <row r="8" spans="1:16" x14ac:dyDescent="0.2">
      <c r="A8" s="9">
        <v>4</v>
      </c>
      <c r="B8" s="18" t="s">
        <v>337</v>
      </c>
      <c r="C8" s="18" t="s">
        <v>312</v>
      </c>
      <c r="D8" s="18"/>
      <c r="E8" s="18"/>
      <c r="F8" s="9" t="str">
        <f t="shared" si="0"/>
        <v>tipo</v>
      </c>
      <c r="G8" s="9" t="str">
        <f t="shared" si="3"/>
        <v>varchar(45)</v>
      </c>
      <c r="H8" s="9" t="str">
        <f t="shared" si="1"/>
        <v>45</v>
      </c>
      <c r="I8" s="9" t="str">
        <f t="shared" si="10"/>
        <v>true</v>
      </c>
      <c r="J8" s="9" t="str">
        <f t="shared" si="4"/>
        <v xml:space="preserve">p_tipo, </v>
      </c>
      <c r="K8" s="9" t="str">
        <f t="shared" si="5"/>
        <v>$rsPessoa['tipo'] = '';</v>
      </c>
      <c r="L8" s="9" t="str">
        <f t="shared" si="6"/>
        <v>'name' =&gt; 'p_tipo',    'id' =&gt; 'p_tipo',    'maxlength' =&gt; 45,    'value' =&gt; $rsPessoa['tipo'],    'required' =&gt; true</v>
      </c>
      <c r="M8" s="13" t="str">
        <f t="shared" si="7"/>
        <v>$tipo    = ucwords(strtolower(trim(strip_tags(@$_POST['p_tipo']?: ''))));</v>
      </c>
      <c r="N8" s="9" t="str">
        <f t="shared" si="8"/>
        <v>tipo = ?,</v>
      </c>
      <c r="O8" s="9" t="str">
        <f t="shared" si="2"/>
        <v>tipo,</v>
      </c>
      <c r="P8" s="10" t="str">
        <f t="shared" si="9"/>
        <v>$stmt-&gt;bindValue(4, $tipo);</v>
      </c>
    </row>
    <row r="9" spans="1:16" x14ac:dyDescent="0.2">
      <c r="A9" s="9">
        <v>5</v>
      </c>
      <c r="B9" s="18" t="s">
        <v>337</v>
      </c>
      <c r="C9" s="18" t="s">
        <v>313</v>
      </c>
      <c r="D9" s="18"/>
      <c r="E9" s="18"/>
      <c r="F9" s="9" t="str">
        <f t="shared" si="0"/>
        <v>nome</v>
      </c>
      <c r="G9" s="9" t="str">
        <f t="shared" si="3"/>
        <v>varchar(254)</v>
      </c>
      <c r="H9" s="9" t="str">
        <f t="shared" si="1"/>
        <v>254</v>
      </c>
      <c r="I9" s="9" t="str">
        <f t="shared" si="10"/>
        <v>true</v>
      </c>
      <c r="J9" s="9" t="str">
        <f t="shared" si="4"/>
        <v xml:space="preserve">p_nome, </v>
      </c>
      <c r="K9" s="9" t="str">
        <f t="shared" si="5"/>
        <v>$rsPessoa['nome'] = '';</v>
      </c>
      <c r="L9" s="9" t="str">
        <f t="shared" si="6"/>
        <v>'name' =&gt; 'p_nome',    'id' =&gt; 'p_nome',    'maxlength' =&gt; 254,    'value' =&gt; $rsPessoa['nome'],    'required' =&gt; true</v>
      </c>
      <c r="M9" s="13" t="str">
        <f t="shared" si="7"/>
        <v>$nome    = ucwords(strtolower(trim(strip_tags(@$_POST['p_nome']?: ''))));</v>
      </c>
      <c r="N9" s="9" t="str">
        <f t="shared" si="8"/>
        <v>nome = ?,</v>
      </c>
      <c r="O9" s="9" t="str">
        <f t="shared" si="2"/>
        <v>nome,</v>
      </c>
      <c r="P9" s="10" t="str">
        <f t="shared" si="9"/>
        <v>$stmt-&gt;bindValue(5, $nome);</v>
      </c>
    </row>
    <row r="10" spans="1:16" x14ac:dyDescent="0.2">
      <c r="A10" s="9">
        <v>6</v>
      </c>
      <c r="B10" s="18" t="s">
        <v>337</v>
      </c>
      <c r="C10" s="18" t="s">
        <v>314</v>
      </c>
      <c r="D10" s="18"/>
      <c r="E10" s="18"/>
      <c r="F10" s="9" t="str">
        <f t="shared" si="0"/>
        <v>nome_social</v>
      </c>
      <c r="G10" s="9" t="str">
        <f t="shared" si="3"/>
        <v>varchar(245)</v>
      </c>
      <c r="H10" s="9" t="str">
        <f t="shared" si="1"/>
        <v>245</v>
      </c>
      <c r="I10" s="9" t="str">
        <f t="shared" si="10"/>
        <v>false</v>
      </c>
      <c r="J10" s="9" t="str">
        <f t="shared" si="4"/>
        <v xml:space="preserve">p_nome_social, </v>
      </c>
      <c r="K10" s="9" t="str">
        <f t="shared" si="5"/>
        <v>$rsPessoa['nome_social'] = '';</v>
      </c>
      <c r="L10" s="9" t="str">
        <f t="shared" si="6"/>
        <v>'name' =&gt; 'p_nome_social',    'id' =&gt; 'p_nome_social',    'maxlength' =&gt; 245,    'value' =&gt; $rsPessoa['nome_social'],    'required' =&gt; false</v>
      </c>
      <c r="M10" s="13" t="str">
        <f t="shared" si="7"/>
        <v>$nome_social    = ucwords(strtolower(trim(strip_tags(@$_POST['p_nome_social']?: ''))));</v>
      </c>
      <c r="N10" s="9" t="str">
        <f t="shared" si="8"/>
        <v>nome_social = ?,</v>
      </c>
      <c r="O10" s="9" t="str">
        <f t="shared" si="2"/>
        <v>nome_social,</v>
      </c>
      <c r="P10" s="10" t="str">
        <f t="shared" si="9"/>
        <v>$stmt-&gt;bindValue(6, $nome_social);</v>
      </c>
    </row>
    <row r="11" spans="1:16" x14ac:dyDescent="0.2">
      <c r="A11" s="9">
        <v>7</v>
      </c>
      <c r="B11" s="18" t="s">
        <v>337</v>
      </c>
      <c r="C11" s="18" t="s">
        <v>315</v>
      </c>
      <c r="D11" s="18"/>
      <c r="E11" s="18"/>
      <c r="F11" s="9" t="str">
        <f t="shared" si="0"/>
        <v>cpf</v>
      </c>
      <c r="G11" s="9" t="str">
        <f t="shared" si="3"/>
        <v>varchar(18)</v>
      </c>
      <c r="H11" s="9" t="str">
        <f t="shared" si="1"/>
        <v>18</v>
      </c>
      <c r="I11" s="9" t="str">
        <f t="shared" si="10"/>
        <v>true</v>
      </c>
      <c r="J11" s="9" t="str">
        <f t="shared" si="4"/>
        <v xml:space="preserve">p_cpf, </v>
      </c>
      <c r="K11" s="9" t="str">
        <f t="shared" si="5"/>
        <v>$rsPessoa['cpf'] = '';</v>
      </c>
      <c r="L11" s="9" t="str">
        <f t="shared" si="6"/>
        <v>'name' =&gt; 'p_cpf',    'id' =&gt; 'p_cpf',    'maxlength' =&gt; 18,    'value' =&gt; $rsPessoa['cpf'],    'required' =&gt; true</v>
      </c>
      <c r="M11" s="13" t="str">
        <f t="shared" si="7"/>
        <v>$cpf    = ucwords(strtolower(trim(strip_tags(@$_POST['p_cpf']?: ''))));</v>
      </c>
      <c r="N11" s="9" t="str">
        <f t="shared" si="8"/>
        <v>cpf = ?,</v>
      </c>
      <c r="O11" s="9" t="str">
        <f t="shared" si="2"/>
        <v>cpf,</v>
      </c>
      <c r="P11" s="10" t="str">
        <f t="shared" si="9"/>
        <v>$stmt-&gt;bindValue(7, $cpf);</v>
      </c>
    </row>
    <row r="12" spans="1:16" x14ac:dyDescent="0.2">
      <c r="A12" s="9">
        <v>8</v>
      </c>
      <c r="B12" s="18" t="s">
        <v>337</v>
      </c>
      <c r="C12" s="18" t="s">
        <v>316</v>
      </c>
      <c r="D12" s="18"/>
      <c r="E12" s="18"/>
      <c r="F12" s="9" t="str">
        <f t="shared" si="0"/>
        <v>ie</v>
      </c>
      <c r="G12" s="9" t="str">
        <f t="shared" si="3"/>
        <v>varchar(45)</v>
      </c>
      <c r="H12" s="9" t="str">
        <f t="shared" si="1"/>
        <v>45</v>
      </c>
      <c r="I12" s="9" t="str">
        <f t="shared" si="10"/>
        <v>false</v>
      </c>
      <c r="J12" s="9" t="str">
        <f t="shared" si="4"/>
        <v xml:space="preserve">p_ie, </v>
      </c>
      <c r="K12" s="9" t="str">
        <f t="shared" si="5"/>
        <v>$rsPessoa['ie'] = '';</v>
      </c>
      <c r="L12" s="9" t="str">
        <f t="shared" si="6"/>
        <v>'name' =&gt; 'p_ie',    'id' =&gt; 'p_ie',    'maxlength' =&gt; 45,    'value' =&gt; $rsPessoa['ie'],    'required' =&gt; false</v>
      </c>
      <c r="M12" s="13" t="str">
        <f t="shared" si="7"/>
        <v>$ie    = ucwords(strtolower(trim(strip_tags(@$_POST['p_ie']?: ''))));</v>
      </c>
      <c r="N12" s="9" t="str">
        <f t="shared" si="8"/>
        <v>ie = ?,</v>
      </c>
      <c r="O12" s="9" t="str">
        <f t="shared" si="2"/>
        <v>ie,</v>
      </c>
      <c r="P12" s="10" t="str">
        <f t="shared" si="9"/>
        <v>$stmt-&gt;bindValue(8, $ie);</v>
      </c>
    </row>
    <row r="13" spans="1:16" x14ac:dyDescent="0.2">
      <c r="A13" s="9">
        <v>9</v>
      </c>
      <c r="B13" s="18" t="s">
        <v>337</v>
      </c>
      <c r="C13" s="18" t="s">
        <v>317</v>
      </c>
      <c r="D13" s="18"/>
      <c r="E13" s="18"/>
      <c r="F13" s="9" t="str">
        <f t="shared" si="0"/>
        <v>dt_nascimento</v>
      </c>
      <c r="G13" s="9" t="str">
        <f t="shared" si="3"/>
        <v>date</v>
      </c>
      <c r="H13" s="9" t="str">
        <f t="shared" si="1"/>
        <v/>
      </c>
      <c r="I13" s="9" t="str">
        <f t="shared" si="10"/>
        <v>false</v>
      </c>
      <c r="J13" s="9" t="str">
        <f t="shared" si="4"/>
        <v xml:space="preserve">p_dt_nascimento, </v>
      </c>
      <c r="K13" s="9" t="str">
        <f t="shared" si="5"/>
        <v>$rsPessoa['dt_nascimento'] = '';</v>
      </c>
      <c r="L13" s="9" t="str">
        <f t="shared" si="6"/>
        <v>'name' =&gt; 'p_dt_nascimento',    'id' =&gt; 'p_dt_nascimento',    'maxlength' =&gt; ,    'value' =&gt; $rsPessoa['dt_nascimento'],    'required' =&gt; false</v>
      </c>
      <c r="M13" s="13" t="str">
        <f t="shared" si="7"/>
        <v>$dt_nascimento    = strip_tags(@$_POST['p_dt_nascimento']?: '');</v>
      </c>
      <c r="N13" s="9" t="str">
        <f t="shared" si="8"/>
        <v>dt_nascimento = ?,</v>
      </c>
      <c r="O13" s="9" t="str">
        <f t="shared" si="2"/>
        <v>dt_nascimento,</v>
      </c>
      <c r="P13" s="10" t="str">
        <f t="shared" si="9"/>
        <v>$stmt-&gt;bindValue(9, $dt_nascimento?: NULL);</v>
      </c>
    </row>
    <row r="14" spans="1:16" x14ac:dyDescent="0.2">
      <c r="A14" s="9">
        <v>10</v>
      </c>
      <c r="B14" s="18" t="s">
        <v>337</v>
      </c>
      <c r="C14" s="18" t="s">
        <v>336</v>
      </c>
      <c r="D14" s="18"/>
      <c r="E14" s="18"/>
      <c r="F14" s="9" t="str">
        <f t="shared" si="0"/>
        <v>dt_criacao</v>
      </c>
      <c r="G14" s="9" t="str">
        <f t="shared" si="3"/>
        <v>date</v>
      </c>
      <c r="H14" s="9" t="str">
        <f t="shared" si="1"/>
        <v/>
      </c>
      <c r="I14" s="9" t="str">
        <f t="shared" si="10"/>
        <v>false</v>
      </c>
      <c r="J14" s="9" t="str">
        <f t="shared" si="4"/>
        <v xml:space="preserve">p_dt_criacao, </v>
      </c>
      <c r="K14" s="9" t="str">
        <f t="shared" si="5"/>
        <v>$rsPessoa['dt_criacao'] = '';</v>
      </c>
      <c r="L14" s="9" t="str">
        <f t="shared" si="6"/>
        <v>'name' =&gt; 'p_dt_criacao',    'id' =&gt; 'p_dt_criacao',    'maxlength' =&gt; ,    'value' =&gt; $rsPessoa['dt_criacao'],    'required' =&gt; false</v>
      </c>
      <c r="M14" s="13" t="str">
        <f t="shared" si="7"/>
        <v>$dt_criacao    = strip_tags(@$_POST['p_dt_criacao']?: '');</v>
      </c>
      <c r="N14" s="9" t="str">
        <f t="shared" si="8"/>
        <v>dt_criacao = ?,</v>
      </c>
      <c r="O14" s="9" t="str">
        <f t="shared" si="2"/>
        <v>dt_criacao,</v>
      </c>
      <c r="P14" s="10" t="str">
        <f t="shared" si="9"/>
        <v>$stmt-&gt;bindValue(10, $dt_criacao?: NULL);</v>
      </c>
    </row>
    <row r="15" spans="1:16" x14ac:dyDescent="0.2">
      <c r="A15" s="9">
        <v>11</v>
      </c>
      <c r="B15" s="18" t="s">
        <v>337</v>
      </c>
      <c r="C15" s="18" t="s">
        <v>318</v>
      </c>
      <c r="D15" s="18"/>
      <c r="E15" s="18"/>
      <c r="F15" s="9" t="str">
        <f t="shared" si="0"/>
        <v>sexo</v>
      </c>
      <c r="G15" s="9" t="str">
        <f t="shared" si="3"/>
        <v>varchar(9)</v>
      </c>
      <c r="H15" s="9" t="str">
        <f t="shared" si="1"/>
        <v>9</v>
      </c>
      <c r="I15" s="9" t="str">
        <f t="shared" si="10"/>
        <v>false</v>
      </c>
      <c r="J15" s="9" t="str">
        <f t="shared" si="4"/>
        <v xml:space="preserve">p_sexo, </v>
      </c>
      <c r="K15" s="9" t="str">
        <f t="shared" si="5"/>
        <v>$rsPessoa['sexo'] = '';</v>
      </c>
      <c r="L15" s="9" t="str">
        <f t="shared" si="6"/>
        <v>'name' =&gt; 'p_sexo',    'id' =&gt; 'p_sexo',    'maxlength' =&gt; 9,    'value' =&gt; $rsPessoa['sexo'],    'required' =&gt; false</v>
      </c>
      <c r="M15" s="13" t="str">
        <f t="shared" si="7"/>
        <v>$sexo    = ucwords(strtolower(trim(strip_tags(@$_POST['p_sexo']?: ''))));</v>
      </c>
      <c r="N15" s="9" t="str">
        <f t="shared" si="8"/>
        <v>sexo = ?,</v>
      </c>
      <c r="O15" s="9" t="str">
        <f t="shared" si="2"/>
        <v>sexo,</v>
      </c>
      <c r="P15" s="10" t="str">
        <f t="shared" si="9"/>
        <v>$stmt-&gt;bindValue(11, $sexo);</v>
      </c>
    </row>
    <row r="16" spans="1:16" x14ac:dyDescent="0.2">
      <c r="A16" s="9">
        <v>12</v>
      </c>
      <c r="B16" s="18" t="s">
        <v>337</v>
      </c>
      <c r="C16" s="18" t="s">
        <v>319</v>
      </c>
      <c r="D16" s="18"/>
      <c r="E16" s="18"/>
      <c r="F16" s="9" t="str">
        <f t="shared" si="0"/>
        <v>natural_bsc_pais_id</v>
      </c>
      <c r="G16" s="9" t="str">
        <f t="shared" si="3"/>
        <v>int(11)</v>
      </c>
      <c r="H16" s="9" t="str">
        <f t="shared" si="1"/>
        <v>11</v>
      </c>
      <c r="I16" s="9" t="str">
        <f t="shared" si="10"/>
        <v>false</v>
      </c>
      <c r="J16" s="9" t="str">
        <f t="shared" si="4"/>
        <v xml:space="preserve">p_natural_bsc_pais_id, </v>
      </c>
      <c r="K16" s="9" t="str">
        <f t="shared" si="5"/>
        <v>$rsPessoa['natural_bsc_pais_id'] = '';</v>
      </c>
      <c r="L16" s="9" t="str">
        <f t="shared" si="6"/>
        <v>'name' =&gt; 'p_natural_bsc_pais_id',    'id' =&gt; 'p_natural_bsc_pais_id',    'maxlength' =&gt; 11,    'value' =&gt; $rsPessoa['natural_bsc_pais_id'],    'required' =&gt; false</v>
      </c>
      <c r="M16" s="13" t="str">
        <f t="shared" si="7"/>
        <v>$natural_bsc_pais_id    = strip_tags(@$_POST['p_natural_bsc_pais_id']?: '');</v>
      </c>
      <c r="N16" s="9" t="str">
        <f t="shared" si="8"/>
        <v>natural_bsc_pais_id = ?,</v>
      </c>
      <c r="O16" s="9" t="str">
        <f t="shared" si="2"/>
        <v>natural_bsc_pais_id,</v>
      </c>
      <c r="P16" s="10" t="str">
        <f t="shared" si="9"/>
        <v>$stmt-&gt;bindValue(12, $natural_bsc_pais_id?: NULL);</v>
      </c>
    </row>
    <row r="17" spans="1:16" x14ac:dyDescent="0.2">
      <c r="A17" s="9">
        <v>13</v>
      </c>
      <c r="B17" s="18" t="s">
        <v>337</v>
      </c>
      <c r="C17" s="18" t="s">
        <v>320</v>
      </c>
      <c r="D17" s="18"/>
      <c r="E17" s="18"/>
      <c r="F17" s="9" t="str">
        <f t="shared" si="0"/>
        <v>natural_bsc_municipio_id</v>
      </c>
      <c r="G17" s="9" t="str">
        <f t="shared" si="3"/>
        <v>int(11)</v>
      </c>
      <c r="H17" s="9" t="str">
        <f t="shared" si="1"/>
        <v>11</v>
      </c>
      <c r="I17" s="9" t="str">
        <f t="shared" si="10"/>
        <v>false</v>
      </c>
      <c r="J17" s="9" t="str">
        <f t="shared" si="4"/>
        <v xml:space="preserve">p_natural_bsc_municipio_id, </v>
      </c>
      <c r="K17" s="9" t="str">
        <f t="shared" si="5"/>
        <v>$rsPessoa['natural_bsc_municipio_id'] = '';</v>
      </c>
      <c r="L17" s="9" t="str">
        <f t="shared" si="6"/>
        <v>'name' =&gt; 'p_natural_bsc_municipio_id',    'id' =&gt; 'p_natural_bsc_municipio_id',    'maxlength' =&gt; 11,    'value' =&gt; $rsPessoa['natural_bsc_municipio_id'],    'required' =&gt; false</v>
      </c>
      <c r="M17" s="13" t="str">
        <f t="shared" si="7"/>
        <v>$natural_bsc_municipio_id    = strip_tags(@$_POST['p_natural_bsc_municipio_id']?: '');</v>
      </c>
      <c r="N17" s="9" t="str">
        <f t="shared" si="8"/>
        <v>natural_bsc_municipio_id = ?,</v>
      </c>
      <c r="O17" s="9" t="str">
        <f t="shared" si="2"/>
        <v>natural_bsc_municipio_id,</v>
      </c>
      <c r="P17" s="10" t="str">
        <f t="shared" si="9"/>
        <v>$stmt-&gt;bindValue(13, $natural_bsc_municipio_id?: NULL);</v>
      </c>
    </row>
    <row r="18" spans="1:16" x14ac:dyDescent="0.2">
      <c r="A18" s="9">
        <v>14</v>
      </c>
      <c r="B18" s="18" t="s">
        <v>337</v>
      </c>
      <c r="C18" s="18" t="s">
        <v>321</v>
      </c>
      <c r="D18" s="18"/>
      <c r="E18" s="18"/>
      <c r="F18" s="9" t="str">
        <f t="shared" si="0"/>
        <v>natural_estrangeiro_dt_ingresso</v>
      </c>
      <c r="G18" s="9" t="str">
        <f t="shared" si="3"/>
        <v>date</v>
      </c>
      <c r="H18" s="9" t="str">
        <f t="shared" si="1"/>
        <v/>
      </c>
      <c r="I18" s="9" t="str">
        <f t="shared" si="10"/>
        <v>false</v>
      </c>
      <c r="J18" s="9" t="str">
        <f t="shared" si="4"/>
        <v xml:space="preserve">p_natural_estrangeiro_dt_ingresso, </v>
      </c>
      <c r="K18" s="9" t="str">
        <f t="shared" si="5"/>
        <v>$rsPessoa['natural_estrangeiro_dt_ingresso'] = '';</v>
      </c>
      <c r="L18" s="9" t="str">
        <f t="shared" si="6"/>
        <v>'name' =&gt; 'p_natural_estrangeiro_dt_ingresso',    'id' =&gt; 'p_natural_estrangeiro_dt_ingresso',    'maxlength' =&gt; ,    'value' =&gt; $rsPessoa['natural_estrangeiro_dt_ingresso'],    'required' =&gt; false</v>
      </c>
      <c r="M18" s="13" t="str">
        <f t="shared" si="7"/>
        <v>$natural_estrangeiro_dt_ingresso    = strip_tags(@$_POST['p_natural_estrangeiro_dt_ingresso']?: '');</v>
      </c>
      <c r="N18" s="9" t="str">
        <f t="shared" si="8"/>
        <v>natural_estrangeiro_dt_ingresso = ?,</v>
      </c>
      <c r="O18" s="9" t="str">
        <f t="shared" si="2"/>
        <v>natural_estrangeiro_dt_ingresso,</v>
      </c>
      <c r="P18" s="10" t="str">
        <f t="shared" si="9"/>
        <v>$stmt-&gt;bindValue(14, $natural_estrangeiro_dt_ingresso?: NULL);</v>
      </c>
    </row>
    <row r="19" spans="1:16" x14ac:dyDescent="0.2">
      <c r="A19" s="9">
        <v>15</v>
      </c>
      <c r="B19" s="18" t="s">
        <v>337</v>
      </c>
      <c r="C19" s="18" t="s">
        <v>322</v>
      </c>
      <c r="D19" s="18"/>
      <c r="E19" s="18"/>
      <c r="F19" s="9" t="str">
        <f t="shared" si="0"/>
        <v>natural_estrangeiro_cidade</v>
      </c>
      <c r="G19" s="9" t="str">
        <f t="shared" si="3"/>
        <v>varchar(130)</v>
      </c>
      <c r="H19" s="9" t="str">
        <f t="shared" si="1"/>
        <v>130</v>
      </c>
      <c r="I19" s="9" t="str">
        <f t="shared" si="10"/>
        <v>false</v>
      </c>
      <c r="J19" s="9" t="str">
        <f t="shared" si="4"/>
        <v xml:space="preserve">p_natural_estrangeiro_cidade, </v>
      </c>
      <c r="K19" s="9" t="str">
        <f t="shared" si="5"/>
        <v>$rsPessoa['natural_estrangeiro_cidade'] = '';</v>
      </c>
      <c r="L19" s="9" t="str">
        <f t="shared" si="6"/>
        <v>'name' =&gt; 'p_natural_estrangeiro_cidade',    'id' =&gt; 'p_natural_estrangeiro_cidade',    'maxlength' =&gt; 130,    'value' =&gt; $rsPessoa['natural_estrangeiro_cidade'],    'required' =&gt; false</v>
      </c>
      <c r="M19" s="13" t="str">
        <f t="shared" si="7"/>
        <v>$natural_estrangeiro_cidade    = ucwords(strtolower(trim(strip_tags(@$_POST['p_natural_estrangeiro_cidade']?: ''))));</v>
      </c>
      <c r="N19" s="9" t="str">
        <f t="shared" si="8"/>
        <v>natural_estrangeiro_cidade = ?,</v>
      </c>
      <c r="O19" s="9" t="str">
        <f t="shared" si="2"/>
        <v>natural_estrangeiro_cidade,</v>
      </c>
      <c r="P19" s="10" t="str">
        <f t="shared" si="9"/>
        <v>$stmt-&gt;bindValue(15, $natural_estrangeiro_cidade);</v>
      </c>
    </row>
    <row r="20" spans="1:16" x14ac:dyDescent="0.2">
      <c r="A20" s="9">
        <v>16</v>
      </c>
      <c r="B20" s="18" t="s">
        <v>337</v>
      </c>
      <c r="C20" s="18" t="s">
        <v>323</v>
      </c>
      <c r="D20" s="18"/>
      <c r="E20" s="18"/>
      <c r="F20" s="9" t="str">
        <f t="shared" si="0"/>
        <v>natural_estrangeiro_estado</v>
      </c>
      <c r="G20" s="9" t="str">
        <f t="shared" si="3"/>
        <v>varchar(100)</v>
      </c>
      <c r="H20" s="9" t="str">
        <f t="shared" si="1"/>
        <v>100</v>
      </c>
      <c r="I20" s="9" t="str">
        <f t="shared" si="10"/>
        <v>false</v>
      </c>
      <c r="J20" s="9" t="str">
        <f t="shared" si="4"/>
        <v xml:space="preserve">p_natural_estrangeiro_estado, </v>
      </c>
      <c r="K20" s="9" t="str">
        <f t="shared" si="5"/>
        <v>$rsPessoa['natural_estrangeiro_estado'] = '';</v>
      </c>
      <c r="L20" s="9" t="str">
        <f t="shared" si="6"/>
        <v>'name' =&gt; 'p_natural_estrangeiro_estado',    'id' =&gt; 'p_natural_estrangeiro_estado',    'maxlength' =&gt; 100,    'value' =&gt; $rsPessoa['natural_estrangeiro_estado'],    'required' =&gt; false</v>
      </c>
      <c r="M20" s="13" t="str">
        <f t="shared" si="7"/>
        <v>$natural_estrangeiro_estado    = ucwords(strtolower(trim(strip_tags(@$_POST['p_natural_estrangeiro_estado']?: ''))));</v>
      </c>
      <c r="N20" s="9" t="str">
        <f t="shared" si="8"/>
        <v>natural_estrangeiro_estado = ?,</v>
      </c>
      <c r="O20" s="9" t="str">
        <f t="shared" si="2"/>
        <v>natural_estrangeiro_estado,</v>
      </c>
      <c r="P20" s="10" t="str">
        <f t="shared" si="9"/>
        <v>$stmt-&gt;bindValue(16, $natural_estrangeiro_estado);</v>
      </c>
    </row>
    <row r="21" spans="1:16" x14ac:dyDescent="0.2">
      <c r="A21" s="9">
        <v>17</v>
      </c>
      <c r="B21" s="18" t="s">
        <v>337</v>
      </c>
      <c r="C21" s="18" t="s">
        <v>324</v>
      </c>
      <c r="D21" s="18"/>
      <c r="E21" s="18"/>
      <c r="F21" s="9" t="str">
        <f t="shared" si="0"/>
        <v>natural_estrangeiro_condicao_trabalho</v>
      </c>
      <c r="G21" s="9" t="str">
        <f t="shared" si="3"/>
        <v>varchar(254)</v>
      </c>
      <c r="H21" s="9" t="str">
        <f t="shared" si="1"/>
        <v>254</v>
      </c>
      <c r="I21" s="9" t="str">
        <f t="shared" si="10"/>
        <v>false</v>
      </c>
      <c r="J21" s="9" t="str">
        <f t="shared" si="4"/>
        <v xml:space="preserve">p_natural_estrangeiro_condicao_trabalho, </v>
      </c>
      <c r="K21" s="9" t="str">
        <f t="shared" si="5"/>
        <v>$rsPessoa['natural_estrangeiro_condicao_trabalho'] = '';</v>
      </c>
      <c r="L21" s="9" t="str">
        <f t="shared" si="6"/>
        <v>'name' =&gt; 'p_natural_estrangeiro_condicao_trabalho',    'id' =&gt; 'p_natural_estrangeiro_condicao_trabalho',    'maxlength' =&gt; 254,    'value' =&gt; $rsPessoa['natural_estrangeiro_condicao_trabalho'],    'required' =&gt; false</v>
      </c>
      <c r="M21" s="13" t="str">
        <f t="shared" si="7"/>
        <v>$natural_estrangeiro_condicao_trabalho    = ucwords(strtolower(trim(strip_tags(@$_POST['p_natural_estrangeiro_condicao_trabalho']?: ''))));</v>
      </c>
      <c r="N21" s="9" t="str">
        <f t="shared" si="8"/>
        <v>natural_estrangeiro_condicao_trabalho = ?,</v>
      </c>
      <c r="O21" s="9" t="str">
        <f t="shared" si="2"/>
        <v>natural_estrangeiro_condicao_trabalho,</v>
      </c>
      <c r="P21" s="10" t="str">
        <f t="shared" si="9"/>
        <v>$stmt-&gt;bindValue(17, $natural_estrangeiro_condicao_trabalho);</v>
      </c>
    </row>
    <row r="22" spans="1:16" x14ac:dyDescent="0.2">
      <c r="A22" s="9">
        <v>18</v>
      </c>
      <c r="B22" s="18" t="s">
        <v>337</v>
      </c>
      <c r="C22" s="18" t="s">
        <v>325</v>
      </c>
      <c r="D22" s="18"/>
      <c r="E22" s="18"/>
      <c r="F22" s="9" t="str">
        <f t="shared" si="0"/>
        <v>pai_nome</v>
      </c>
      <c r="G22" s="9" t="str">
        <f t="shared" si="3"/>
        <v>varchar(254)</v>
      </c>
      <c r="H22" s="9" t="str">
        <f t="shared" si="1"/>
        <v>254</v>
      </c>
      <c r="I22" s="9" t="str">
        <f t="shared" si="10"/>
        <v>false</v>
      </c>
      <c r="J22" s="9" t="str">
        <f t="shared" si="4"/>
        <v xml:space="preserve">p_pai_nome, </v>
      </c>
      <c r="K22" s="9" t="str">
        <f t="shared" si="5"/>
        <v>$rsPessoa['pai_nome'] = '';</v>
      </c>
      <c r="L22" s="9" t="str">
        <f t="shared" si="6"/>
        <v>'name' =&gt; 'p_pai_nome',    'id' =&gt; 'p_pai_nome',    'maxlength' =&gt; 254,    'value' =&gt; $rsPessoa['pai_nome'],    'required' =&gt; false</v>
      </c>
      <c r="M22" s="13" t="str">
        <f t="shared" si="7"/>
        <v>$pai_nome    = ucwords(strtolower(trim(strip_tags(@$_POST['p_pai_nome']?: ''))));</v>
      </c>
      <c r="N22" s="9" t="str">
        <f t="shared" si="8"/>
        <v>pai_nome = ?,</v>
      </c>
      <c r="O22" s="9" t="str">
        <f t="shared" si="2"/>
        <v>pai_nome,</v>
      </c>
      <c r="P22" s="10" t="str">
        <f t="shared" si="9"/>
        <v>$stmt-&gt;bindValue(18, $pai_nome);</v>
      </c>
    </row>
    <row r="23" spans="1:16" x14ac:dyDescent="0.2">
      <c r="A23" s="9">
        <v>19</v>
      </c>
      <c r="B23" s="18" t="s">
        <v>337</v>
      </c>
      <c r="C23" s="18" t="s">
        <v>326</v>
      </c>
      <c r="D23" s="18"/>
      <c r="E23" s="18"/>
      <c r="F23" s="9" t="str">
        <f t="shared" si="0"/>
        <v>pai_natural_bsc_pais_id</v>
      </c>
      <c r="G23" s="9" t="str">
        <f t="shared" si="3"/>
        <v>int(11)</v>
      </c>
      <c r="H23" s="9" t="str">
        <f t="shared" si="1"/>
        <v>11</v>
      </c>
      <c r="I23" s="9" t="str">
        <f t="shared" si="10"/>
        <v>false</v>
      </c>
      <c r="J23" s="9" t="str">
        <f t="shared" si="4"/>
        <v xml:space="preserve">p_pai_natural_bsc_pais_id, </v>
      </c>
      <c r="K23" s="9" t="str">
        <f t="shared" si="5"/>
        <v>$rsPessoa['pai_natural_bsc_pais_id'] = '';</v>
      </c>
      <c r="L23" s="9" t="str">
        <f t="shared" si="6"/>
        <v>'name' =&gt; 'p_pai_natural_bsc_pais_id',    'id' =&gt; 'p_pai_natural_bsc_pais_id',    'maxlength' =&gt; 11,    'value' =&gt; $rsPessoa['pai_natural_bsc_pais_id'],    'required' =&gt; false</v>
      </c>
      <c r="M23" s="13" t="str">
        <f t="shared" si="7"/>
        <v>$pai_natural_bsc_pais_id    = strip_tags(@$_POST['p_pai_natural_bsc_pais_id']?: '');</v>
      </c>
      <c r="N23" s="9" t="str">
        <f t="shared" si="8"/>
        <v>pai_natural_bsc_pais_id = ?,</v>
      </c>
      <c r="O23" s="9" t="str">
        <f t="shared" si="2"/>
        <v>pai_natural_bsc_pais_id,</v>
      </c>
      <c r="P23" s="10" t="str">
        <f t="shared" si="9"/>
        <v>$stmt-&gt;bindValue(19, $pai_natural_bsc_pais_id?: NULL);</v>
      </c>
    </row>
    <row r="24" spans="1:16" x14ac:dyDescent="0.2">
      <c r="A24" s="9">
        <v>20</v>
      </c>
      <c r="B24" s="18" t="s">
        <v>337</v>
      </c>
      <c r="C24" s="18" t="s">
        <v>327</v>
      </c>
      <c r="D24" s="18"/>
      <c r="E24" s="18"/>
      <c r="F24" s="9" t="str">
        <f t="shared" si="0"/>
        <v>pai_profissao</v>
      </c>
      <c r="G24" s="9" t="str">
        <f t="shared" si="3"/>
        <v>varchar(100)</v>
      </c>
      <c r="H24" s="9" t="str">
        <f t="shared" si="1"/>
        <v>100</v>
      </c>
      <c r="I24" s="9" t="str">
        <f t="shared" si="10"/>
        <v>false</v>
      </c>
      <c r="J24" s="9" t="str">
        <f t="shared" si="4"/>
        <v xml:space="preserve">p_pai_profissao, </v>
      </c>
      <c r="K24" s="9" t="str">
        <f t="shared" si="5"/>
        <v>$rsPessoa['pai_profissao'] = '';</v>
      </c>
      <c r="L24" s="9" t="str">
        <f t="shared" si="6"/>
        <v>'name' =&gt; 'p_pai_profissao',    'id' =&gt; 'p_pai_profissao',    'maxlength' =&gt; 100,    'value' =&gt; $rsPessoa['pai_profissao'],    'required' =&gt; false</v>
      </c>
      <c r="M24" s="13" t="str">
        <f t="shared" si="7"/>
        <v>$pai_profissao    = ucwords(strtolower(trim(strip_tags(@$_POST['p_pai_profissao']?: ''))));</v>
      </c>
      <c r="N24" s="9" t="str">
        <f t="shared" si="8"/>
        <v>pai_profissao = ?,</v>
      </c>
      <c r="O24" s="9" t="str">
        <f t="shared" si="2"/>
        <v>pai_profissao,</v>
      </c>
      <c r="P24" s="10" t="str">
        <f t="shared" si="9"/>
        <v>$stmt-&gt;bindValue(20, $pai_profissao);</v>
      </c>
    </row>
    <row r="25" spans="1:16" x14ac:dyDescent="0.2">
      <c r="A25" s="9">
        <v>21</v>
      </c>
      <c r="B25" s="18" t="s">
        <v>337</v>
      </c>
      <c r="C25" s="18" t="s">
        <v>328</v>
      </c>
      <c r="D25" s="18"/>
      <c r="E25" s="18"/>
      <c r="F25" s="9" t="str">
        <f t="shared" si="0"/>
        <v>mae_nome</v>
      </c>
      <c r="G25" s="9" t="str">
        <f t="shared" si="3"/>
        <v>varchar(254)</v>
      </c>
      <c r="H25" s="9" t="str">
        <f t="shared" si="1"/>
        <v>254</v>
      </c>
      <c r="I25" s="9" t="str">
        <f t="shared" si="10"/>
        <v>false</v>
      </c>
      <c r="J25" s="9" t="str">
        <f t="shared" si="4"/>
        <v xml:space="preserve">p_mae_nome, </v>
      </c>
      <c r="K25" s="9" t="str">
        <f t="shared" si="5"/>
        <v>$rsPessoa['mae_nome'] = '';</v>
      </c>
      <c r="L25" s="9" t="str">
        <f t="shared" si="6"/>
        <v>'name' =&gt; 'p_mae_nome',    'id' =&gt; 'p_mae_nome',    'maxlength' =&gt; 254,    'value' =&gt; $rsPessoa['mae_nome'],    'required' =&gt; false</v>
      </c>
      <c r="M25" s="13" t="str">
        <f t="shared" si="7"/>
        <v>$mae_nome    = ucwords(strtolower(trim(strip_tags(@$_POST['p_mae_nome']?: ''))));</v>
      </c>
      <c r="N25" s="9" t="str">
        <f t="shared" si="8"/>
        <v>mae_nome = ?,</v>
      </c>
      <c r="O25" s="9" t="str">
        <f t="shared" si="2"/>
        <v>mae_nome,</v>
      </c>
      <c r="P25" s="10" t="str">
        <f t="shared" si="9"/>
        <v>$stmt-&gt;bindValue(21, $mae_nome);</v>
      </c>
    </row>
    <row r="26" spans="1:16" x14ac:dyDescent="0.2">
      <c r="A26" s="9">
        <v>22</v>
      </c>
      <c r="B26" s="18" t="s">
        <v>337</v>
      </c>
      <c r="C26" s="18" t="s">
        <v>329</v>
      </c>
      <c r="D26" s="18"/>
      <c r="E26" s="18"/>
      <c r="F26" s="9" t="str">
        <f t="shared" si="0"/>
        <v>mae_natural_bsc_pais_id</v>
      </c>
      <c r="G26" s="9" t="str">
        <f t="shared" si="3"/>
        <v>int(11)</v>
      </c>
      <c r="H26" s="9" t="str">
        <f t="shared" si="1"/>
        <v>11</v>
      </c>
      <c r="I26" s="9" t="str">
        <f t="shared" si="10"/>
        <v>false</v>
      </c>
      <c r="J26" s="9" t="str">
        <f t="shared" si="4"/>
        <v xml:space="preserve">p_mae_natural_bsc_pais_id, </v>
      </c>
      <c r="K26" s="9" t="str">
        <f t="shared" si="5"/>
        <v>$rsPessoa['mae_natural_bsc_pais_id'] = '';</v>
      </c>
      <c r="L26" s="9" t="str">
        <f t="shared" si="6"/>
        <v>'name' =&gt; 'p_mae_natural_bsc_pais_id',    'id' =&gt; 'p_mae_natural_bsc_pais_id',    'maxlength' =&gt; 11,    'value' =&gt; $rsPessoa['mae_natural_bsc_pais_id'],    'required' =&gt; false</v>
      </c>
      <c r="M26" s="13" t="str">
        <f t="shared" si="7"/>
        <v>$mae_natural_bsc_pais_id    = strip_tags(@$_POST['p_mae_natural_bsc_pais_id']?: '');</v>
      </c>
      <c r="N26" s="9" t="str">
        <f t="shared" si="8"/>
        <v>mae_natural_bsc_pais_id = ?,</v>
      </c>
      <c r="O26" s="9" t="str">
        <f t="shared" si="2"/>
        <v>mae_natural_bsc_pais_id,</v>
      </c>
      <c r="P26" s="10" t="str">
        <f t="shared" si="9"/>
        <v>$stmt-&gt;bindValue(22, $mae_natural_bsc_pais_id?: NULL);</v>
      </c>
    </row>
    <row r="27" spans="1:16" x14ac:dyDescent="0.2">
      <c r="A27" s="9">
        <v>23</v>
      </c>
      <c r="B27" s="18" t="s">
        <v>337</v>
      </c>
      <c r="C27" s="18" t="s">
        <v>330</v>
      </c>
      <c r="D27" s="18"/>
      <c r="E27" s="18"/>
      <c r="F27" s="9" t="str">
        <f t="shared" si="0"/>
        <v>mae_profissao</v>
      </c>
      <c r="G27" s="9" t="str">
        <f t="shared" si="3"/>
        <v>varchar(45)</v>
      </c>
      <c r="H27" s="9" t="str">
        <f t="shared" si="1"/>
        <v>45</v>
      </c>
      <c r="I27" s="9" t="str">
        <f t="shared" si="10"/>
        <v>false</v>
      </c>
      <c r="J27" s="9" t="str">
        <f t="shared" si="4"/>
        <v xml:space="preserve">p_mae_profissao, </v>
      </c>
      <c r="K27" s="9" t="str">
        <f t="shared" si="5"/>
        <v>$rsPessoa['mae_profissao'] = '';</v>
      </c>
      <c r="L27" s="9" t="str">
        <f t="shared" si="6"/>
        <v>'name' =&gt; 'p_mae_profissao',    'id' =&gt; 'p_mae_profissao',    'maxlength' =&gt; 45,    'value' =&gt; $rsPessoa['mae_profissao'],    'required' =&gt; false</v>
      </c>
      <c r="M27" s="13" t="str">
        <f t="shared" si="7"/>
        <v>$mae_profissao    = ucwords(strtolower(trim(strip_tags(@$_POST['p_mae_profissao']?: ''))));</v>
      </c>
      <c r="N27" s="9" t="str">
        <f t="shared" si="8"/>
        <v>mae_profissao = ?,</v>
      </c>
      <c r="O27" s="9" t="str">
        <f t="shared" si="2"/>
        <v>mae_profissao,</v>
      </c>
      <c r="P27" s="10" t="str">
        <f t="shared" si="9"/>
        <v>$stmt-&gt;bindValue(23, $mae_profissao);</v>
      </c>
    </row>
    <row r="28" spans="1:16" x14ac:dyDescent="0.2">
      <c r="A28" s="9">
        <v>24</v>
      </c>
      <c r="B28" s="18" t="s">
        <v>337</v>
      </c>
      <c r="C28" s="18" t="s">
        <v>331</v>
      </c>
      <c r="D28" s="18"/>
      <c r="E28" s="18"/>
      <c r="F28" s="9" t="str">
        <f t="shared" si="0"/>
        <v>foto</v>
      </c>
      <c r="G28" s="9" t="str">
        <f t="shared" si="3"/>
        <v>varchar(254)</v>
      </c>
      <c r="H28" s="9" t="str">
        <f t="shared" si="1"/>
        <v>254</v>
      </c>
      <c r="I28" s="9" t="str">
        <f t="shared" si="10"/>
        <v>false</v>
      </c>
      <c r="J28" s="9" t="str">
        <f t="shared" si="4"/>
        <v xml:space="preserve">p_foto, </v>
      </c>
      <c r="K28" s="9" t="str">
        <f t="shared" si="5"/>
        <v>$rsPessoa['foto'] = '';</v>
      </c>
      <c r="L28" s="9" t="str">
        <f t="shared" si="6"/>
        <v>'name' =&gt; 'p_foto',    'id' =&gt; 'p_foto',    'maxlength' =&gt; 254,    'value' =&gt; $rsPessoa['foto'],    'required' =&gt; false</v>
      </c>
      <c r="M28" s="13" t="str">
        <f t="shared" si="7"/>
        <v>$foto    = ucwords(strtolower(trim(strip_tags(@$_POST['p_foto']?: ''))));</v>
      </c>
      <c r="N28" s="9" t="str">
        <f t="shared" si="8"/>
        <v>foto = ?,</v>
      </c>
      <c r="O28" s="9" t="str">
        <f t="shared" si="2"/>
        <v>foto,</v>
      </c>
      <c r="P28" s="10" t="str">
        <f t="shared" si="9"/>
        <v>$stmt-&gt;bindValue(24, $foto);</v>
      </c>
    </row>
    <row r="29" spans="1:16" x14ac:dyDescent="0.2">
      <c r="A29" s="9">
        <v>25</v>
      </c>
      <c r="B29" s="18" t="s">
        <v>337</v>
      </c>
      <c r="C29" s="18" t="s">
        <v>332</v>
      </c>
      <c r="D29" s="18"/>
      <c r="E29" s="18"/>
      <c r="F29" s="9" t="str">
        <f t="shared" si="0"/>
        <v>sangue_tipo</v>
      </c>
      <c r="G29" s="9" t="str">
        <f t="shared" si="3"/>
        <v>varchar(3)</v>
      </c>
      <c r="H29" s="9" t="str">
        <f t="shared" si="1"/>
        <v>3</v>
      </c>
      <c r="I29" s="9" t="str">
        <f t="shared" si="10"/>
        <v>false</v>
      </c>
      <c r="J29" s="9" t="str">
        <f t="shared" si="4"/>
        <v xml:space="preserve">p_sangue_tipo, </v>
      </c>
      <c r="K29" s="9" t="str">
        <f t="shared" si="5"/>
        <v>$rsPessoa['sangue_tipo'] = '';</v>
      </c>
      <c r="L29" s="9" t="str">
        <f t="shared" si="6"/>
        <v>'name' =&gt; 'p_sangue_tipo',    'id' =&gt; 'p_sangue_tipo',    'maxlength' =&gt; 3,    'value' =&gt; $rsPessoa['sangue_tipo'],    'required' =&gt; false</v>
      </c>
      <c r="M29" s="13" t="str">
        <f t="shared" si="7"/>
        <v>$sangue_tipo    = ucwords(strtolower(trim(strip_tags(@$_POST['p_sangue_tipo']?: ''))));</v>
      </c>
      <c r="N29" s="9" t="str">
        <f t="shared" si="8"/>
        <v>sangue_tipo = ?,</v>
      </c>
      <c r="O29" s="9" t="str">
        <f t="shared" si="2"/>
        <v>sangue_tipo,</v>
      </c>
      <c r="P29" s="10" t="str">
        <f t="shared" si="9"/>
        <v>$stmt-&gt;bindValue(25, $sangue_tipo);</v>
      </c>
    </row>
    <row r="30" spans="1:16" x14ac:dyDescent="0.2">
      <c r="A30" s="9">
        <v>26</v>
      </c>
      <c r="B30" s="18" t="s">
        <v>337</v>
      </c>
      <c r="C30" s="18" t="s">
        <v>333</v>
      </c>
      <c r="D30" s="18"/>
      <c r="E30" s="18"/>
      <c r="F30" s="9" t="str">
        <f t="shared" si="0"/>
        <v>raca</v>
      </c>
      <c r="G30" s="9" t="str">
        <f t="shared" si="3"/>
        <v>varchar(50)</v>
      </c>
      <c r="H30" s="9" t="str">
        <f t="shared" si="1"/>
        <v>50</v>
      </c>
      <c r="I30" s="9" t="str">
        <f t="shared" si="10"/>
        <v>false</v>
      </c>
      <c r="J30" s="9" t="str">
        <f t="shared" si="4"/>
        <v xml:space="preserve">p_raca, </v>
      </c>
      <c r="K30" s="9" t="str">
        <f t="shared" si="5"/>
        <v>$rsPessoa['raca'] = '';</v>
      </c>
      <c r="L30" s="9" t="str">
        <f t="shared" si="6"/>
        <v>'name' =&gt; 'p_raca',    'id' =&gt; 'p_raca',    'maxlength' =&gt; 50,    'value' =&gt; $rsPessoa['raca'],    'required' =&gt; false</v>
      </c>
      <c r="M30" s="13" t="str">
        <f t="shared" si="7"/>
        <v>$raca    = ucwords(strtolower(trim(strip_tags(@$_POST['p_raca']?: ''))));</v>
      </c>
      <c r="N30" s="9" t="str">
        <f t="shared" si="8"/>
        <v>raca = ?,</v>
      </c>
      <c r="O30" s="9" t="str">
        <f t="shared" si="2"/>
        <v>raca,</v>
      </c>
      <c r="P30" s="10" t="str">
        <f t="shared" si="9"/>
        <v>$stmt-&gt;bindValue(26, $raca);</v>
      </c>
    </row>
    <row r="31" spans="1:16" x14ac:dyDescent="0.2">
      <c r="A31" s="9">
        <v>27</v>
      </c>
      <c r="B31" s="18" t="s">
        <v>337</v>
      </c>
      <c r="C31" s="18" t="s">
        <v>334</v>
      </c>
      <c r="D31" s="18"/>
      <c r="E31" s="18"/>
      <c r="F31" s="9" t="str">
        <f t="shared" si="0"/>
        <v>enfermedade_portador</v>
      </c>
      <c r="G31" s="9" t="str">
        <f t="shared" si="3"/>
        <v>varchar(100)</v>
      </c>
      <c r="H31" s="9" t="str">
        <f t="shared" si="1"/>
        <v>100</v>
      </c>
      <c r="I31" s="9" t="str">
        <f t="shared" si="10"/>
        <v>false</v>
      </c>
      <c r="J31" s="9" t="str">
        <f t="shared" si="4"/>
        <v xml:space="preserve">p_enfermedade_portador, </v>
      </c>
      <c r="K31" s="9" t="str">
        <f t="shared" si="5"/>
        <v>$rsPessoa['enfermedade_portador'] = '';</v>
      </c>
      <c r="L31" s="9" t="str">
        <f t="shared" si="6"/>
        <v>'name' =&gt; 'p_enfermedade_portador',    'id' =&gt; 'p_enfermedade_portador',    'maxlength' =&gt; 100,    'value' =&gt; $rsPessoa['enfermedade_portador'],    'required' =&gt; false</v>
      </c>
      <c r="M31" s="13" t="str">
        <f t="shared" si="7"/>
        <v>$enfermedade_portador    = ucwords(strtolower(trim(strip_tags(@$_POST['p_enfermedade_portador']?: ''))));</v>
      </c>
      <c r="N31" s="9" t="str">
        <f t="shared" si="8"/>
        <v>enfermedade_portador = ?,</v>
      </c>
      <c r="O31" s="9" t="str">
        <f t="shared" si="2"/>
        <v>enfermedade_portador,</v>
      </c>
      <c r="P31" s="10" t="str">
        <f t="shared" si="9"/>
        <v>$stmt-&gt;bindValue(27, $enfermedade_portador);</v>
      </c>
    </row>
    <row r="32" spans="1:16" x14ac:dyDescent="0.2">
      <c r="A32" s="9">
        <v>28</v>
      </c>
      <c r="B32" s="18" t="s">
        <v>337</v>
      </c>
      <c r="C32" s="18" t="s">
        <v>335</v>
      </c>
      <c r="D32" s="18"/>
      <c r="E32" s="18"/>
      <c r="F32" s="9" t="str">
        <f t="shared" si="0"/>
        <v>enfermedade_codigo_internacional</v>
      </c>
      <c r="G32" s="9" t="str">
        <f t="shared" si="3"/>
        <v>varchar(10)</v>
      </c>
      <c r="H32" s="9" t="str">
        <f t="shared" si="1"/>
        <v>10</v>
      </c>
      <c r="I32" s="9" t="str">
        <f t="shared" si="10"/>
        <v>false</v>
      </c>
      <c r="J32" s="9" t="str">
        <f t="shared" si="4"/>
        <v xml:space="preserve">p_enfermedade_codigo_internacional, </v>
      </c>
      <c r="K32" s="9" t="str">
        <f t="shared" si="5"/>
        <v>$rsPessoa['enfermedade_codigo_internacional'] = '';</v>
      </c>
      <c r="L32" s="9" t="str">
        <f t="shared" si="6"/>
        <v>'name' =&gt; 'p_enfermedade_codigo_internacional',    'id' =&gt; 'p_enfermedade_codigo_internacional',    'maxlength' =&gt; 10,    'value' =&gt; $rsPessoa['enfermedade_codigo_internacional'],    'required' =&gt; false</v>
      </c>
      <c r="M32" s="13" t="str">
        <f t="shared" si="7"/>
        <v>$enfermedade_codigo_internacional    = ucwords(strtolower(trim(strip_tags(@$_POST['p_enfermedade_codigo_internacional']?: ''))));</v>
      </c>
      <c r="N32" s="9" t="str">
        <f t="shared" si="8"/>
        <v>enfermedade_codigo_internacional = ?,</v>
      </c>
      <c r="O32" s="9" t="str">
        <f t="shared" si="2"/>
        <v>enfermedade_codigo_internacional,</v>
      </c>
      <c r="P32" s="10" t="str">
        <f t="shared" si="9"/>
        <v>$stmt-&gt;bindValue(28, $enfermedade_codigo_internacional);</v>
      </c>
    </row>
    <row r="33" spans="1:16" x14ac:dyDescent="0.2">
      <c r="A33" s="9">
        <v>29</v>
      </c>
      <c r="B33" s="18"/>
      <c r="C33" s="18"/>
      <c r="D33" s="18"/>
      <c r="E33" s="18"/>
      <c r="F33" s="9" t="str">
        <f>IFERROR(MID(C33,(FIND("`",C33)+1),(FIND("` ",C33)-(FIND("`",C33)+1))),"")</f>
        <v/>
      </c>
      <c r="G33" s="9" t="str">
        <f>IFERROR(MID(C33,(FIND("` ",C33)+2),(IFERROR(FIND("NOT",C33),FIND("DEFAULT",C33))-(FIND("` ",C33)+3))),"")</f>
        <v/>
      </c>
      <c r="H33" s="9" t="str">
        <f t="shared" ref="H33" si="11">IFERROR(MID(C33,(FIND("(",C33)+1),(FIND(")",C33)-(FIND("(",C33)+1))),"")</f>
        <v/>
      </c>
      <c r="I33" s="9" t="str">
        <f t="shared" si="10"/>
        <v>false</v>
      </c>
      <c r="J33" s="9" t="str">
        <f t="shared" si="4"/>
        <v xml:space="preserve">, </v>
      </c>
      <c r="K33" s="9" t="str">
        <f t="shared" si="5"/>
        <v>$rsPessoa[''] = '';</v>
      </c>
      <c r="L33" s="9" t="str">
        <f t="shared" si="6"/>
        <v>'name' =&gt; '',    'id' =&gt; '',    'maxlength' =&gt; ,    'value' =&gt; $rsPessoa[''],    'required' =&gt; false</v>
      </c>
      <c r="M33" s="13" t="str">
        <f t="shared" si="7"/>
        <v>$    = ucwords(strtolower(trim(strip_tags(@$_POST['']?: ''))));</v>
      </c>
      <c r="N33" s="9" t="str">
        <f t="shared" si="8"/>
        <v xml:space="preserve"> = ?,</v>
      </c>
      <c r="O33" s="9" t="str">
        <f t="shared" si="2"/>
        <v>,</v>
      </c>
      <c r="P33" s="10" t="str">
        <f t="shared" si="9"/>
        <v>$stmt-&gt;bindValue(29, $);</v>
      </c>
    </row>
    <row r="34" spans="1:16" x14ac:dyDescent="0.2">
      <c r="A34" s="9">
        <v>30</v>
      </c>
      <c r="B34" s="18"/>
      <c r="C34" s="18"/>
      <c r="D34" s="18"/>
      <c r="E34" s="18"/>
      <c r="F34" s="9" t="str">
        <f t="shared" ref="F34:F97" si="12">IFERROR(MID(C34,(FIND("`",C34)+1),(FIND("` ",C34)-(FIND("`",C34)+1))),"")</f>
        <v/>
      </c>
      <c r="G34" s="9" t="str">
        <f t="shared" ref="G34:G97" si="13">IFERROR(MID(C34,(FIND("` ",C34)+2),(IFERROR(FIND("NOT",C34),FIND("DEFAULT",C34))-(FIND("` ",C34)+3))),"")</f>
        <v/>
      </c>
      <c r="H34" s="9" t="str">
        <f t="shared" ref="H34:H97" si="14">IFERROR(MID(C34,(FIND("(",C34)+1),(FIND(")",C34)-(FIND("(",C34)+1))),"")</f>
        <v/>
      </c>
      <c r="I34" s="9" t="str">
        <f t="shared" si="10"/>
        <v>false</v>
      </c>
      <c r="J34" s="9" t="str">
        <f t="shared" si="4"/>
        <v xml:space="preserve">, </v>
      </c>
      <c r="K34" s="9" t="str">
        <f t="shared" si="5"/>
        <v>$rsPessoa[''] = '';</v>
      </c>
      <c r="L34" s="9" t="str">
        <f t="shared" si="6"/>
        <v>'name' =&gt; '',    'id' =&gt; '',    'maxlength' =&gt; ,    'value' =&gt; $rsPessoa[''],    'required' =&gt; false</v>
      </c>
      <c r="M34" s="13" t="str">
        <f t="shared" si="7"/>
        <v>$    = ucwords(strtolower(trim(strip_tags(@$_POST['']?: ''))));</v>
      </c>
      <c r="N34" s="9" t="str">
        <f t="shared" si="8"/>
        <v xml:space="preserve"> = ?,</v>
      </c>
      <c r="O34" s="9" t="str">
        <f t="shared" si="2"/>
        <v>,</v>
      </c>
      <c r="P34" s="10" t="str">
        <f t="shared" si="9"/>
        <v>$stmt-&gt;bindValue(30, $);</v>
      </c>
    </row>
    <row r="35" spans="1:16" x14ac:dyDescent="0.2">
      <c r="A35" s="9">
        <v>31</v>
      </c>
      <c r="B35" s="18"/>
      <c r="C35" s="18"/>
      <c r="D35" s="18"/>
      <c r="E35" s="18"/>
      <c r="F35" s="9" t="str">
        <f t="shared" si="12"/>
        <v/>
      </c>
      <c r="G35" s="9" t="str">
        <f t="shared" si="13"/>
        <v/>
      </c>
      <c r="H35" s="9" t="str">
        <f t="shared" si="14"/>
        <v/>
      </c>
      <c r="I35" s="9" t="str">
        <f t="shared" si="10"/>
        <v>false</v>
      </c>
      <c r="J35" s="9" t="str">
        <f t="shared" si="4"/>
        <v xml:space="preserve">, </v>
      </c>
      <c r="K35" s="9" t="str">
        <f t="shared" si="5"/>
        <v>$rsPessoa[''] = '';</v>
      </c>
      <c r="L35" s="9" t="str">
        <f t="shared" si="6"/>
        <v>'name' =&gt; '',    'id' =&gt; '',    'maxlength' =&gt; ,    'value' =&gt; $rsPessoa[''],    'required' =&gt; false</v>
      </c>
      <c r="M35" s="13" t="str">
        <f t="shared" si="7"/>
        <v>$    = ucwords(strtolower(trim(strip_tags(@$_POST['']?: ''))));</v>
      </c>
      <c r="N35" s="9" t="str">
        <f t="shared" si="8"/>
        <v xml:space="preserve"> = ?,</v>
      </c>
      <c r="O35" s="9" t="str">
        <f t="shared" si="2"/>
        <v>,</v>
      </c>
      <c r="P35" s="10" t="str">
        <f t="shared" si="9"/>
        <v>$stmt-&gt;bindValue(31, $);</v>
      </c>
    </row>
    <row r="36" spans="1:16" x14ac:dyDescent="0.2">
      <c r="A36" s="9">
        <v>32</v>
      </c>
      <c r="B36" s="18"/>
      <c r="C36" s="18"/>
      <c r="D36" s="18"/>
      <c r="E36" s="18"/>
      <c r="F36" s="9" t="str">
        <f t="shared" si="12"/>
        <v/>
      </c>
      <c r="G36" s="9" t="str">
        <f t="shared" si="13"/>
        <v/>
      </c>
      <c r="H36" s="9" t="str">
        <f t="shared" si="14"/>
        <v/>
      </c>
      <c r="I36" s="9" t="str">
        <f t="shared" si="10"/>
        <v>false</v>
      </c>
      <c r="J36" s="9" t="str">
        <f t="shared" si="4"/>
        <v xml:space="preserve">, </v>
      </c>
      <c r="K36" s="9" t="str">
        <f t="shared" si="5"/>
        <v>$rsPessoa[''] = '';</v>
      </c>
      <c r="L36" s="9" t="str">
        <f t="shared" si="6"/>
        <v>'name' =&gt; '',    'id' =&gt; '',    'maxlength' =&gt; ,    'value' =&gt; $rsPessoa[''],    'required' =&gt; false</v>
      </c>
      <c r="M36" s="13" t="str">
        <f t="shared" si="7"/>
        <v>$    = ucwords(strtolower(trim(strip_tags(@$_POST['']?: ''))));</v>
      </c>
      <c r="N36" s="9" t="str">
        <f t="shared" si="8"/>
        <v xml:space="preserve"> = ?,</v>
      </c>
      <c r="O36" s="9" t="str">
        <f t="shared" si="2"/>
        <v>,</v>
      </c>
      <c r="P36" s="10" t="str">
        <f t="shared" si="9"/>
        <v>$stmt-&gt;bindValue(32, $);</v>
      </c>
    </row>
    <row r="37" spans="1:16" x14ac:dyDescent="0.2">
      <c r="A37" s="9">
        <v>33</v>
      </c>
      <c r="B37" s="18"/>
      <c r="C37" s="18"/>
      <c r="D37" s="18"/>
      <c r="E37" s="18"/>
      <c r="F37" s="9" t="str">
        <f t="shared" si="12"/>
        <v/>
      </c>
      <c r="G37" s="9" t="str">
        <f t="shared" si="13"/>
        <v/>
      </c>
      <c r="H37" s="9" t="str">
        <f t="shared" si="14"/>
        <v/>
      </c>
      <c r="I37" s="9" t="str">
        <f t="shared" si="10"/>
        <v>false</v>
      </c>
      <c r="J37" s="9" t="str">
        <f t="shared" si="4"/>
        <v xml:space="preserve">, </v>
      </c>
      <c r="K37" s="9" t="str">
        <f t="shared" si="5"/>
        <v>$rsPessoa[''] = '';</v>
      </c>
      <c r="L37" s="9" t="str">
        <f t="shared" si="6"/>
        <v>'name' =&gt; '',    'id' =&gt; '',    'maxlength' =&gt; ,    'value' =&gt; $rsPessoa[''],    'required' =&gt; false</v>
      </c>
      <c r="M37" s="13" t="str">
        <f t="shared" si="7"/>
        <v>$    = ucwords(strtolower(trim(strip_tags(@$_POST['']?: ''))));</v>
      </c>
      <c r="N37" s="9" t="str">
        <f t="shared" si="8"/>
        <v xml:space="preserve"> = ?,</v>
      </c>
      <c r="O37" s="9" t="str">
        <f t="shared" ref="O37:O68" si="15">CONCATENATE(F37,",")</f>
        <v>,</v>
      </c>
      <c r="P37" s="10" t="str">
        <f t="shared" si="9"/>
        <v>$stmt-&gt;bindValue(33, $);</v>
      </c>
    </row>
    <row r="38" spans="1:16" x14ac:dyDescent="0.2">
      <c r="A38" s="9">
        <v>34</v>
      </c>
      <c r="B38" s="18"/>
      <c r="C38" s="18"/>
      <c r="D38" s="18"/>
      <c r="E38" s="18"/>
      <c r="F38" s="9" t="str">
        <f t="shared" si="12"/>
        <v/>
      </c>
      <c r="G38" s="9" t="str">
        <f t="shared" si="13"/>
        <v/>
      </c>
      <c r="H38" s="9" t="str">
        <f t="shared" si="14"/>
        <v/>
      </c>
      <c r="I38" s="9" t="str">
        <f t="shared" si="10"/>
        <v>false</v>
      </c>
      <c r="J38" s="9" t="str">
        <f t="shared" si="4"/>
        <v xml:space="preserve">, </v>
      </c>
      <c r="K38" s="9" t="str">
        <f t="shared" si="5"/>
        <v>$rsPessoa[''] = '';</v>
      </c>
      <c r="L38" s="9" t="str">
        <f t="shared" si="6"/>
        <v>'name' =&gt; '',    'id' =&gt; '',    'maxlength' =&gt; ,    'value' =&gt; $rsPessoa[''],    'required' =&gt; false</v>
      </c>
      <c r="M38" s="13" t="str">
        <f t="shared" si="7"/>
        <v>$    = ucwords(strtolower(trim(strip_tags(@$_POST['']?: ''))));</v>
      </c>
      <c r="N38" s="9" t="str">
        <f t="shared" si="8"/>
        <v xml:space="preserve"> = ?,</v>
      </c>
      <c r="O38" s="9" t="str">
        <f t="shared" si="15"/>
        <v>,</v>
      </c>
      <c r="P38" s="10" t="str">
        <f t="shared" si="9"/>
        <v>$stmt-&gt;bindValue(34, $);</v>
      </c>
    </row>
    <row r="39" spans="1:16" x14ac:dyDescent="0.2">
      <c r="A39" s="9">
        <v>35</v>
      </c>
      <c r="B39" s="18"/>
      <c r="C39" s="18"/>
      <c r="D39" s="18"/>
      <c r="E39" s="18"/>
      <c r="F39" s="9" t="str">
        <f t="shared" si="12"/>
        <v/>
      </c>
      <c r="G39" s="9" t="str">
        <f t="shared" si="13"/>
        <v/>
      </c>
      <c r="H39" s="9" t="str">
        <f t="shared" si="14"/>
        <v/>
      </c>
      <c r="I39" s="9" t="str">
        <f t="shared" si="10"/>
        <v>false</v>
      </c>
      <c r="J39" s="9" t="str">
        <f t="shared" si="4"/>
        <v xml:space="preserve">, </v>
      </c>
      <c r="K39" s="9" t="str">
        <f t="shared" si="5"/>
        <v>$rsPessoa[''] = '';</v>
      </c>
      <c r="L39" s="9" t="str">
        <f t="shared" si="6"/>
        <v>'name' =&gt; '',    'id' =&gt; '',    'maxlength' =&gt; ,    'value' =&gt; $rsPessoa[''],    'required' =&gt; false</v>
      </c>
      <c r="M39" s="13" t="str">
        <f t="shared" si="7"/>
        <v>$    = ucwords(strtolower(trim(strip_tags(@$_POST['']?: ''))));</v>
      </c>
      <c r="N39" s="9" t="str">
        <f t="shared" si="8"/>
        <v xml:space="preserve"> = ?,</v>
      </c>
      <c r="O39" s="9" t="str">
        <f t="shared" si="15"/>
        <v>,</v>
      </c>
      <c r="P39" s="10" t="str">
        <f t="shared" si="9"/>
        <v>$stmt-&gt;bindValue(35, $);</v>
      </c>
    </row>
    <row r="40" spans="1:16" x14ac:dyDescent="0.2">
      <c r="A40" s="9">
        <v>36</v>
      </c>
      <c r="B40" s="18"/>
      <c r="C40" s="18"/>
      <c r="D40" s="18"/>
      <c r="E40" s="18"/>
      <c r="F40" s="9" t="str">
        <f t="shared" si="12"/>
        <v/>
      </c>
      <c r="G40" s="9" t="str">
        <f t="shared" si="13"/>
        <v/>
      </c>
      <c r="H40" s="9" t="str">
        <f t="shared" si="14"/>
        <v/>
      </c>
      <c r="I40" s="9" t="str">
        <f t="shared" si="10"/>
        <v>false</v>
      </c>
      <c r="J40" s="9" t="str">
        <f t="shared" si="4"/>
        <v xml:space="preserve">, </v>
      </c>
      <c r="K40" s="9" t="str">
        <f t="shared" si="5"/>
        <v>$rsPessoa[''] = '';</v>
      </c>
      <c r="L40" s="9" t="str">
        <f t="shared" si="6"/>
        <v>'name' =&gt; '',    'id' =&gt; '',    'maxlength' =&gt; ,    'value' =&gt; $rsPessoa[''],    'required' =&gt; false</v>
      </c>
      <c r="M40" s="13" t="str">
        <f t="shared" si="7"/>
        <v>$    = ucwords(strtolower(trim(strip_tags(@$_POST['']?: ''))));</v>
      </c>
      <c r="N40" s="9" t="str">
        <f t="shared" si="8"/>
        <v xml:space="preserve"> = ?,</v>
      </c>
      <c r="O40" s="9" t="str">
        <f t="shared" si="15"/>
        <v>,</v>
      </c>
      <c r="P40" s="10" t="str">
        <f t="shared" si="9"/>
        <v>$stmt-&gt;bindValue(36, $);</v>
      </c>
    </row>
    <row r="41" spans="1:16" x14ac:dyDescent="0.2">
      <c r="A41" s="9">
        <v>37</v>
      </c>
      <c r="B41" s="18"/>
      <c r="C41" s="18"/>
      <c r="D41" s="18"/>
      <c r="E41" s="18"/>
      <c r="F41" s="9" t="str">
        <f t="shared" si="12"/>
        <v/>
      </c>
      <c r="G41" s="9" t="str">
        <f t="shared" si="13"/>
        <v/>
      </c>
      <c r="H41" s="9" t="str">
        <f t="shared" si="14"/>
        <v/>
      </c>
      <c r="I41" s="9" t="str">
        <f t="shared" si="10"/>
        <v>false</v>
      </c>
      <c r="J41" s="9" t="str">
        <f t="shared" si="4"/>
        <v xml:space="preserve">, </v>
      </c>
      <c r="K41" s="9" t="str">
        <f t="shared" si="5"/>
        <v>$rsPessoa[''] = '';</v>
      </c>
      <c r="L41" s="9" t="str">
        <f t="shared" si="6"/>
        <v>'name' =&gt; '',    'id' =&gt; '',    'maxlength' =&gt; ,    'value' =&gt; $rsPessoa[''],    'required' =&gt; false</v>
      </c>
      <c r="M41" s="13" t="str">
        <f t="shared" si="7"/>
        <v>$    = ucwords(strtolower(trim(strip_tags(@$_POST['']?: ''))));</v>
      </c>
      <c r="N41" s="9" t="str">
        <f t="shared" si="8"/>
        <v xml:space="preserve"> = ?,</v>
      </c>
      <c r="O41" s="9" t="str">
        <f t="shared" si="15"/>
        <v>,</v>
      </c>
      <c r="P41" s="10" t="str">
        <f t="shared" si="9"/>
        <v>$stmt-&gt;bindValue(37, $);</v>
      </c>
    </row>
    <row r="42" spans="1:16" x14ac:dyDescent="0.2">
      <c r="A42" s="9">
        <v>38</v>
      </c>
      <c r="B42" s="18"/>
      <c r="C42" s="18"/>
      <c r="D42" s="18"/>
      <c r="E42" s="18"/>
      <c r="F42" s="9" t="str">
        <f t="shared" si="12"/>
        <v/>
      </c>
      <c r="G42" s="9" t="str">
        <f t="shared" si="13"/>
        <v/>
      </c>
      <c r="H42" s="9" t="str">
        <f t="shared" si="14"/>
        <v/>
      </c>
      <c r="I42" s="9" t="str">
        <f t="shared" si="10"/>
        <v>false</v>
      </c>
      <c r="J42" s="9" t="str">
        <f t="shared" si="4"/>
        <v xml:space="preserve">, </v>
      </c>
      <c r="K42" s="9" t="str">
        <f t="shared" si="5"/>
        <v>$rsPessoa[''] = '';</v>
      </c>
      <c r="L42" s="9" t="str">
        <f t="shared" si="6"/>
        <v>'name' =&gt; '',    'id' =&gt; '',    'maxlength' =&gt; ,    'value' =&gt; $rsPessoa[''],    'required' =&gt; false</v>
      </c>
      <c r="M42" s="13" t="str">
        <f t="shared" si="7"/>
        <v>$    = ucwords(strtolower(trim(strip_tags(@$_POST['']?: ''))));</v>
      </c>
      <c r="N42" s="9" t="str">
        <f t="shared" si="8"/>
        <v xml:space="preserve"> = ?,</v>
      </c>
      <c r="O42" s="9" t="str">
        <f t="shared" si="15"/>
        <v>,</v>
      </c>
      <c r="P42" s="10" t="str">
        <f t="shared" si="9"/>
        <v>$stmt-&gt;bindValue(38, $);</v>
      </c>
    </row>
    <row r="43" spans="1:16" x14ac:dyDescent="0.2">
      <c r="A43" s="9">
        <v>39</v>
      </c>
      <c r="B43" s="18"/>
      <c r="C43" s="18"/>
      <c r="D43" s="18"/>
      <c r="E43" s="18"/>
      <c r="F43" s="9" t="str">
        <f t="shared" si="12"/>
        <v/>
      </c>
      <c r="G43" s="9" t="str">
        <f t="shared" si="13"/>
        <v/>
      </c>
      <c r="H43" s="9" t="str">
        <f t="shared" si="14"/>
        <v/>
      </c>
      <c r="I43" s="9" t="str">
        <f t="shared" si="10"/>
        <v>false</v>
      </c>
      <c r="J43" s="9" t="str">
        <f t="shared" si="4"/>
        <v xml:space="preserve">, </v>
      </c>
      <c r="K43" s="9" t="str">
        <f t="shared" si="5"/>
        <v>$rsPessoa[''] = '';</v>
      </c>
      <c r="L43" s="9" t="str">
        <f t="shared" si="6"/>
        <v>'name' =&gt; '',    'id' =&gt; '',    'maxlength' =&gt; ,    'value' =&gt; $rsPessoa[''],    'required' =&gt; false</v>
      </c>
      <c r="M43" s="13" t="str">
        <f t="shared" si="7"/>
        <v>$    = ucwords(strtolower(trim(strip_tags(@$_POST['']?: ''))));</v>
      </c>
      <c r="N43" s="9" t="str">
        <f t="shared" si="8"/>
        <v xml:space="preserve"> = ?,</v>
      </c>
      <c r="O43" s="9" t="str">
        <f t="shared" si="15"/>
        <v>,</v>
      </c>
      <c r="P43" s="10" t="str">
        <f t="shared" si="9"/>
        <v>$stmt-&gt;bindValue(39, $);</v>
      </c>
    </row>
    <row r="44" spans="1:16" x14ac:dyDescent="0.2">
      <c r="A44" s="9">
        <v>40</v>
      </c>
      <c r="B44" s="18"/>
      <c r="C44" s="18"/>
      <c r="D44" s="18"/>
      <c r="E44" s="18"/>
      <c r="F44" s="9" t="str">
        <f t="shared" si="12"/>
        <v/>
      </c>
      <c r="G44" s="9" t="str">
        <f t="shared" si="13"/>
        <v/>
      </c>
      <c r="H44" s="9" t="str">
        <f t="shared" si="14"/>
        <v/>
      </c>
      <c r="I44" s="9" t="str">
        <f t="shared" si="10"/>
        <v>false</v>
      </c>
      <c r="J44" s="9" t="str">
        <f t="shared" si="4"/>
        <v xml:space="preserve">, </v>
      </c>
      <c r="K44" s="9" t="str">
        <f t="shared" si="5"/>
        <v>$rsPessoa[''] = '';</v>
      </c>
      <c r="L44" s="9" t="str">
        <f t="shared" si="6"/>
        <v>'name' =&gt; '',    'id' =&gt; '',    'maxlength' =&gt; ,    'value' =&gt; $rsPessoa[''],    'required' =&gt; false</v>
      </c>
      <c r="M44" s="13" t="str">
        <f t="shared" si="7"/>
        <v>$    = ucwords(strtolower(trim(strip_tags(@$_POST['']?: ''))));</v>
      </c>
      <c r="N44" s="9" t="str">
        <f t="shared" si="8"/>
        <v xml:space="preserve"> = ?,</v>
      </c>
      <c r="O44" s="9" t="str">
        <f t="shared" si="15"/>
        <v>,</v>
      </c>
      <c r="P44" s="10" t="str">
        <f t="shared" si="9"/>
        <v>$stmt-&gt;bindValue(40, $);</v>
      </c>
    </row>
    <row r="45" spans="1:16" x14ac:dyDescent="0.2">
      <c r="A45" s="9">
        <v>41</v>
      </c>
      <c r="B45" s="18"/>
      <c r="C45" s="18"/>
      <c r="D45" s="18"/>
      <c r="E45" s="18"/>
      <c r="F45" s="9" t="str">
        <f t="shared" si="12"/>
        <v/>
      </c>
      <c r="G45" s="9" t="str">
        <f t="shared" si="13"/>
        <v/>
      </c>
      <c r="H45" s="9" t="str">
        <f t="shared" si="14"/>
        <v/>
      </c>
      <c r="I45" s="9" t="str">
        <f t="shared" si="10"/>
        <v>false</v>
      </c>
      <c r="J45" s="9" t="str">
        <f t="shared" si="4"/>
        <v xml:space="preserve">, </v>
      </c>
      <c r="K45" s="9" t="str">
        <f t="shared" si="5"/>
        <v>$rsPessoa[''] = '';</v>
      </c>
      <c r="L45" s="9" t="str">
        <f t="shared" si="6"/>
        <v>'name' =&gt; '',    'id' =&gt; '',    'maxlength' =&gt; ,    'value' =&gt; $rsPessoa[''],    'required' =&gt; false</v>
      </c>
      <c r="M45" s="13" t="str">
        <f t="shared" si="7"/>
        <v>$    = ucwords(strtolower(trim(strip_tags(@$_POST['']?: ''))));</v>
      </c>
      <c r="N45" s="9" t="str">
        <f t="shared" si="8"/>
        <v xml:space="preserve"> = ?,</v>
      </c>
      <c r="O45" s="9" t="str">
        <f t="shared" si="15"/>
        <v>,</v>
      </c>
      <c r="P45" s="10" t="str">
        <f t="shared" si="9"/>
        <v>$stmt-&gt;bindValue(41, $);</v>
      </c>
    </row>
    <row r="46" spans="1:16" x14ac:dyDescent="0.2">
      <c r="A46" s="9">
        <v>42</v>
      </c>
      <c r="B46" s="18"/>
      <c r="C46" s="18"/>
      <c r="D46" s="18"/>
      <c r="E46" s="18"/>
      <c r="F46" s="9" t="str">
        <f t="shared" si="12"/>
        <v/>
      </c>
      <c r="G46" s="9" t="str">
        <f t="shared" si="13"/>
        <v/>
      </c>
      <c r="H46" s="9" t="str">
        <f t="shared" si="14"/>
        <v/>
      </c>
      <c r="I46" s="9" t="str">
        <f t="shared" si="10"/>
        <v>false</v>
      </c>
      <c r="J46" s="9" t="str">
        <f t="shared" si="4"/>
        <v xml:space="preserve">, </v>
      </c>
      <c r="K46" s="9" t="str">
        <f t="shared" si="5"/>
        <v>$rsPessoa[''] = '';</v>
      </c>
      <c r="L46" s="9" t="str">
        <f t="shared" si="6"/>
        <v>'name' =&gt; '',    'id' =&gt; '',    'maxlength' =&gt; ,    'value' =&gt; $rsPessoa[''],    'required' =&gt; false</v>
      </c>
      <c r="M46" s="13" t="str">
        <f t="shared" si="7"/>
        <v>$    = ucwords(strtolower(trim(strip_tags(@$_POST['']?: ''))));</v>
      </c>
      <c r="N46" s="9" t="str">
        <f t="shared" si="8"/>
        <v xml:space="preserve"> = ?,</v>
      </c>
      <c r="O46" s="9" t="str">
        <f t="shared" si="15"/>
        <v>,</v>
      </c>
      <c r="P46" s="10" t="str">
        <f t="shared" si="9"/>
        <v>$stmt-&gt;bindValue(42, $);</v>
      </c>
    </row>
    <row r="47" spans="1:16" x14ac:dyDescent="0.2">
      <c r="A47" s="9">
        <v>43</v>
      </c>
      <c r="B47" s="18"/>
      <c r="C47" s="18"/>
      <c r="D47" s="18"/>
      <c r="E47" s="18"/>
      <c r="F47" s="9" t="str">
        <f t="shared" si="12"/>
        <v/>
      </c>
      <c r="G47" s="9" t="str">
        <f t="shared" si="13"/>
        <v/>
      </c>
      <c r="H47" s="9" t="str">
        <f t="shared" si="14"/>
        <v/>
      </c>
      <c r="I47" s="9" t="str">
        <f t="shared" si="10"/>
        <v>false</v>
      </c>
      <c r="J47" s="9" t="str">
        <f t="shared" si="4"/>
        <v xml:space="preserve">, </v>
      </c>
      <c r="K47" s="9" t="str">
        <f t="shared" si="5"/>
        <v>$rsPessoa[''] = '';</v>
      </c>
      <c r="L47" s="9" t="str">
        <f t="shared" si="6"/>
        <v>'name' =&gt; '',    'id' =&gt; '',    'maxlength' =&gt; ,    'value' =&gt; $rsPessoa[''],    'required' =&gt; false</v>
      </c>
      <c r="M47" s="13" t="str">
        <f t="shared" si="7"/>
        <v>$    = ucwords(strtolower(trim(strip_tags(@$_POST['']?: ''))));</v>
      </c>
      <c r="N47" s="9" t="str">
        <f t="shared" si="8"/>
        <v xml:space="preserve"> = ?,</v>
      </c>
      <c r="O47" s="9" t="str">
        <f t="shared" si="15"/>
        <v>,</v>
      </c>
      <c r="P47" s="10" t="str">
        <f t="shared" si="9"/>
        <v>$stmt-&gt;bindValue(43, $);</v>
      </c>
    </row>
    <row r="48" spans="1:16" x14ac:dyDescent="0.2">
      <c r="A48" s="9">
        <v>44</v>
      </c>
      <c r="B48" s="18"/>
      <c r="C48" s="18"/>
      <c r="D48" s="18"/>
      <c r="E48" s="18"/>
      <c r="F48" s="9" t="str">
        <f t="shared" si="12"/>
        <v/>
      </c>
      <c r="G48" s="9" t="str">
        <f t="shared" si="13"/>
        <v/>
      </c>
      <c r="H48" s="9" t="str">
        <f t="shared" si="14"/>
        <v/>
      </c>
      <c r="I48" s="9" t="str">
        <f t="shared" si="10"/>
        <v>false</v>
      </c>
      <c r="J48" s="9" t="str">
        <f t="shared" si="4"/>
        <v xml:space="preserve">, </v>
      </c>
      <c r="K48" s="9" t="str">
        <f t="shared" si="5"/>
        <v>$rsPessoa[''] = '';</v>
      </c>
      <c r="L48" s="9" t="str">
        <f t="shared" si="6"/>
        <v>'name' =&gt; '',    'id' =&gt; '',    'maxlength' =&gt; ,    'value' =&gt; $rsPessoa[''],    'required' =&gt; false</v>
      </c>
      <c r="M48" s="13" t="str">
        <f t="shared" si="7"/>
        <v>$    = ucwords(strtolower(trim(strip_tags(@$_POST['']?: ''))));</v>
      </c>
      <c r="N48" s="9" t="str">
        <f t="shared" si="8"/>
        <v xml:space="preserve"> = ?,</v>
      </c>
      <c r="O48" s="9" t="str">
        <f t="shared" si="15"/>
        <v>,</v>
      </c>
      <c r="P48" s="10" t="str">
        <f t="shared" si="9"/>
        <v>$stmt-&gt;bindValue(44, $);</v>
      </c>
    </row>
    <row r="49" spans="1:16" x14ac:dyDescent="0.2">
      <c r="A49" s="9">
        <v>45</v>
      </c>
      <c r="B49" s="18"/>
      <c r="C49" s="18"/>
      <c r="D49" s="18"/>
      <c r="E49" s="18"/>
      <c r="F49" s="9" t="str">
        <f t="shared" si="12"/>
        <v/>
      </c>
      <c r="G49" s="9" t="str">
        <f t="shared" si="13"/>
        <v/>
      </c>
      <c r="H49" s="9" t="str">
        <f t="shared" si="14"/>
        <v/>
      </c>
      <c r="I49" s="9" t="str">
        <f t="shared" si="10"/>
        <v>false</v>
      </c>
      <c r="J49" s="9" t="str">
        <f t="shared" si="4"/>
        <v xml:space="preserve">, </v>
      </c>
      <c r="K49" s="9" t="str">
        <f t="shared" si="5"/>
        <v>$rsPessoa[''] = '';</v>
      </c>
      <c r="L49" s="9" t="str">
        <f t="shared" si="6"/>
        <v>'name' =&gt; '',    'id' =&gt; '',    'maxlength' =&gt; ,    'value' =&gt; $rsPessoa[''],    'required' =&gt; false</v>
      </c>
      <c r="M49" s="13" t="str">
        <f t="shared" si="7"/>
        <v>$    = ucwords(strtolower(trim(strip_tags(@$_POST['']?: ''))));</v>
      </c>
      <c r="N49" s="9" t="str">
        <f t="shared" si="8"/>
        <v xml:space="preserve"> = ?,</v>
      </c>
      <c r="O49" s="9" t="str">
        <f t="shared" si="15"/>
        <v>,</v>
      </c>
      <c r="P49" s="10" t="str">
        <f t="shared" si="9"/>
        <v>$stmt-&gt;bindValue(45, $);</v>
      </c>
    </row>
    <row r="50" spans="1:16" x14ac:dyDescent="0.2">
      <c r="A50" s="9">
        <v>46</v>
      </c>
      <c r="B50" s="18"/>
      <c r="C50" s="18"/>
      <c r="D50" s="18"/>
      <c r="E50" s="18"/>
      <c r="F50" s="9" t="str">
        <f t="shared" si="12"/>
        <v/>
      </c>
      <c r="G50" s="9" t="str">
        <f t="shared" si="13"/>
        <v/>
      </c>
      <c r="H50" s="9" t="str">
        <f t="shared" si="14"/>
        <v/>
      </c>
      <c r="I50" s="9" t="str">
        <f t="shared" si="10"/>
        <v>false</v>
      </c>
      <c r="J50" s="9" t="str">
        <f t="shared" si="4"/>
        <v xml:space="preserve">, </v>
      </c>
      <c r="K50" s="9" t="str">
        <f t="shared" si="5"/>
        <v>$rsPessoa[''] = '';</v>
      </c>
      <c r="L50" s="9" t="str">
        <f t="shared" si="6"/>
        <v>'name' =&gt; '',    'id' =&gt; '',    'maxlength' =&gt; ,    'value' =&gt; $rsPessoa[''],    'required' =&gt; false</v>
      </c>
      <c r="M50" s="13" t="str">
        <f t="shared" si="7"/>
        <v>$    = ucwords(strtolower(trim(strip_tags(@$_POST['']?: ''))));</v>
      </c>
      <c r="N50" s="9" t="str">
        <f t="shared" si="8"/>
        <v xml:space="preserve"> = ?,</v>
      </c>
      <c r="O50" s="9" t="str">
        <f t="shared" si="15"/>
        <v>,</v>
      </c>
      <c r="P50" s="10" t="str">
        <f t="shared" si="9"/>
        <v>$stmt-&gt;bindValue(46, $);</v>
      </c>
    </row>
    <row r="51" spans="1:16" x14ac:dyDescent="0.2">
      <c r="A51" s="9">
        <v>47</v>
      </c>
      <c r="B51" s="18"/>
      <c r="C51" s="18"/>
      <c r="D51" s="18"/>
      <c r="E51" s="18"/>
      <c r="F51" s="9" t="str">
        <f t="shared" si="12"/>
        <v/>
      </c>
      <c r="G51" s="9" t="str">
        <f t="shared" si="13"/>
        <v/>
      </c>
      <c r="H51" s="9" t="str">
        <f t="shared" si="14"/>
        <v/>
      </c>
      <c r="I51" s="9" t="str">
        <f t="shared" si="10"/>
        <v>false</v>
      </c>
      <c r="J51" s="9" t="str">
        <f t="shared" si="4"/>
        <v xml:space="preserve">, </v>
      </c>
      <c r="K51" s="9" t="str">
        <f t="shared" si="5"/>
        <v>$rsPessoa[''] = '';</v>
      </c>
      <c r="L51" s="9" t="str">
        <f t="shared" si="6"/>
        <v>'name' =&gt; '',    'id' =&gt; '',    'maxlength' =&gt; ,    'value' =&gt; $rsPessoa[''],    'required' =&gt; false</v>
      </c>
      <c r="M51" s="13" t="str">
        <f t="shared" si="7"/>
        <v>$    = ucwords(strtolower(trim(strip_tags(@$_POST['']?: ''))));</v>
      </c>
      <c r="N51" s="9" t="str">
        <f t="shared" si="8"/>
        <v xml:space="preserve"> = ?,</v>
      </c>
      <c r="O51" s="9" t="str">
        <f t="shared" si="15"/>
        <v>,</v>
      </c>
      <c r="P51" s="10" t="str">
        <f t="shared" si="9"/>
        <v>$stmt-&gt;bindValue(47, $);</v>
      </c>
    </row>
    <row r="52" spans="1:16" x14ac:dyDescent="0.2">
      <c r="A52" s="9">
        <v>48</v>
      </c>
      <c r="B52" s="18"/>
      <c r="C52" s="18"/>
      <c r="D52" s="18"/>
      <c r="E52" s="18"/>
      <c r="F52" s="9" t="str">
        <f t="shared" si="12"/>
        <v/>
      </c>
      <c r="G52" s="9" t="str">
        <f t="shared" si="13"/>
        <v/>
      </c>
      <c r="H52" s="9" t="str">
        <f t="shared" si="14"/>
        <v/>
      </c>
      <c r="I52" s="9" t="str">
        <f t="shared" si="10"/>
        <v>false</v>
      </c>
      <c r="J52" s="9" t="str">
        <f t="shared" si="4"/>
        <v xml:space="preserve">, </v>
      </c>
      <c r="K52" s="9" t="str">
        <f t="shared" si="5"/>
        <v>$rsPessoa[''] = '';</v>
      </c>
      <c r="L52" s="9" t="str">
        <f t="shared" si="6"/>
        <v>'name' =&gt; '',    'id' =&gt; '',    'maxlength' =&gt; ,    'value' =&gt; $rsPessoa[''],    'required' =&gt; false</v>
      </c>
      <c r="M52" s="13" t="str">
        <f t="shared" si="7"/>
        <v>$    = ucwords(strtolower(trim(strip_tags(@$_POST['']?: ''))));</v>
      </c>
      <c r="N52" s="9" t="str">
        <f t="shared" si="8"/>
        <v xml:space="preserve"> = ?,</v>
      </c>
      <c r="O52" s="9" t="str">
        <f t="shared" si="15"/>
        <v>,</v>
      </c>
      <c r="P52" s="10" t="str">
        <f t="shared" si="9"/>
        <v>$stmt-&gt;bindValue(48, $);</v>
      </c>
    </row>
    <row r="53" spans="1:16" x14ac:dyDescent="0.2">
      <c r="A53" s="9">
        <v>49</v>
      </c>
      <c r="B53" s="18"/>
      <c r="C53" s="18"/>
      <c r="D53" s="18"/>
      <c r="E53" s="18"/>
      <c r="F53" s="9" t="str">
        <f t="shared" si="12"/>
        <v/>
      </c>
      <c r="G53" s="9" t="str">
        <f t="shared" si="13"/>
        <v/>
      </c>
      <c r="H53" s="9" t="str">
        <f t="shared" si="14"/>
        <v/>
      </c>
      <c r="I53" s="9" t="str">
        <f t="shared" si="10"/>
        <v>false</v>
      </c>
      <c r="J53" s="9" t="str">
        <f t="shared" si="4"/>
        <v xml:space="preserve">, </v>
      </c>
      <c r="K53" s="9" t="str">
        <f t="shared" si="5"/>
        <v>$rsPessoa[''] = '';</v>
      </c>
      <c r="L53" s="9" t="str">
        <f t="shared" si="6"/>
        <v>'name' =&gt; '',    'id' =&gt; '',    'maxlength' =&gt; ,    'value' =&gt; $rsPessoa[''],    'required' =&gt; false</v>
      </c>
      <c r="M53" s="13" t="str">
        <f t="shared" si="7"/>
        <v>$    = ucwords(strtolower(trim(strip_tags(@$_POST['']?: ''))));</v>
      </c>
      <c r="N53" s="9" t="str">
        <f t="shared" si="8"/>
        <v xml:space="preserve"> = ?,</v>
      </c>
      <c r="O53" s="9" t="str">
        <f t="shared" si="15"/>
        <v>,</v>
      </c>
      <c r="P53" s="10" t="str">
        <f t="shared" si="9"/>
        <v>$stmt-&gt;bindValue(49, $);</v>
      </c>
    </row>
    <row r="54" spans="1:16" x14ac:dyDescent="0.2">
      <c r="A54" s="9">
        <v>50</v>
      </c>
      <c r="B54" s="18"/>
      <c r="C54" s="18"/>
      <c r="D54" s="18"/>
      <c r="E54" s="18"/>
      <c r="F54" s="9" t="str">
        <f t="shared" si="12"/>
        <v/>
      </c>
      <c r="G54" s="9" t="str">
        <f t="shared" si="13"/>
        <v/>
      </c>
      <c r="H54" s="9" t="str">
        <f t="shared" si="14"/>
        <v/>
      </c>
      <c r="I54" s="9" t="str">
        <f t="shared" si="10"/>
        <v>false</v>
      </c>
      <c r="J54" s="9" t="str">
        <f t="shared" si="4"/>
        <v xml:space="preserve">, </v>
      </c>
      <c r="K54" s="9" t="str">
        <f t="shared" si="5"/>
        <v>$rsPessoa[''] = '';</v>
      </c>
      <c r="L54" s="9" t="str">
        <f t="shared" si="6"/>
        <v>'name' =&gt; '',    'id' =&gt; '',    'maxlength' =&gt; ,    'value' =&gt; $rsPessoa[''],    'required' =&gt; false</v>
      </c>
      <c r="M54" s="13" t="str">
        <f t="shared" si="7"/>
        <v>$    = ucwords(strtolower(trim(strip_tags(@$_POST['']?: ''))));</v>
      </c>
      <c r="N54" s="9" t="str">
        <f t="shared" si="8"/>
        <v xml:space="preserve"> = ?,</v>
      </c>
      <c r="O54" s="9" t="str">
        <f t="shared" si="15"/>
        <v>,</v>
      </c>
      <c r="P54" s="10" t="str">
        <f t="shared" si="9"/>
        <v>$stmt-&gt;bindValue(50, $);</v>
      </c>
    </row>
    <row r="55" spans="1:16" x14ac:dyDescent="0.2">
      <c r="A55" s="9">
        <v>51</v>
      </c>
      <c r="B55" s="18"/>
      <c r="C55" s="18"/>
      <c r="D55" s="18"/>
      <c r="E55" s="18"/>
      <c r="F55" s="9" t="str">
        <f t="shared" si="12"/>
        <v/>
      </c>
      <c r="G55" s="9" t="str">
        <f t="shared" si="13"/>
        <v/>
      </c>
      <c r="H55" s="9" t="str">
        <f t="shared" si="14"/>
        <v/>
      </c>
      <c r="I55" s="9" t="str">
        <f t="shared" si="10"/>
        <v>false</v>
      </c>
      <c r="J55" s="9" t="str">
        <f t="shared" si="4"/>
        <v xml:space="preserve">, </v>
      </c>
      <c r="K55" s="9" t="str">
        <f t="shared" si="5"/>
        <v>$rsPessoa[''] = '';</v>
      </c>
      <c r="L55" s="9" t="str">
        <f t="shared" si="6"/>
        <v>'name' =&gt; '',    'id' =&gt; '',    'maxlength' =&gt; ,    'value' =&gt; $rsPessoa[''],    'required' =&gt; false</v>
      </c>
      <c r="M55" s="13" t="str">
        <f t="shared" si="7"/>
        <v>$    = ucwords(strtolower(trim(strip_tags(@$_POST['']?: ''))));</v>
      </c>
      <c r="N55" s="9" t="str">
        <f t="shared" si="8"/>
        <v xml:space="preserve"> = ?,</v>
      </c>
      <c r="O55" s="9" t="str">
        <f t="shared" si="15"/>
        <v>,</v>
      </c>
      <c r="P55" s="10" t="str">
        <f t="shared" si="9"/>
        <v>$stmt-&gt;bindValue(51, $);</v>
      </c>
    </row>
    <row r="56" spans="1:16" x14ac:dyDescent="0.2">
      <c r="A56" s="9">
        <v>52</v>
      </c>
      <c r="B56" s="18"/>
      <c r="C56" s="18"/>
      <c r="D56" s="18"/>
      <c r="E56" s="18"/>
      <c r="F56" s="9" t="str">
        <f t="shared" si="12"/>
        <v/>
      </c>
      <c r="G56" s="9" t="str">
        <f t="shared" si="13"/>
        <v/>
      </c>
      <c r="H56" s="9" t="str">
        <f t="shared" si="14"/>
        <v/>
      </c>
      <c r="I56" s="9" t="str">
        <f t="shared" si="10"/>
        <v>false</v>
      </c>
      <c r="J56" s="9" t="str">
        <f t="shared" si="4"/>
        <v xml:space="preserve">, </v>
      </c>
      <c r="K56" s="9" t="str">
        <f t="shared" si="5"/>
        <v>$rsPessoa[''] = '';</v>
      </c>
      <c r="L56" s="9" t="str">
        <f t="shared" si="6"/>
        <v>'name' =&gt; '',    'id' =&gt; '',    'maxlength' =&gt; ,    'value' =&gt; $rsPessoa[''],    'required' =&gt; false</v>
      </c>
      <c r="M56" s="13" t="str">
        <f t="shared" si="7"/>
        <v>$    = ucwords(strtolower(trim(strip_tags(@$_POST['']?: ''))));</v>
      </c>
      <c r="N56" s="9" t="str">
        <f t="shared" si="8"/>
        <v xml:space="preserve"> = ?,</v>
      </c>
      <c r="O56" s="9" t="str">
        <f t="shared" si="15"/>
        <v>,</v>
      </c>
      <c r="P56" s="10" t="str">
        <f t="shared" si="9"/>
        <v>$stmt-&gt;bindValue(52, $);</v>
      </c>
    </row>
    <row r="57" spans="1:16" x14ac:dyDescent="0.2">
      <c r="A57" s="9">
        <v>53</v>
      </c>
      <c r="B57" s="18"/>
      <c r="C57" s="18"/>
      <c r="D57" s="18"/>
      <c r="E57" s="18"/>
      <c r="F57" s="9" t="str">
        <f t="shared" si="12"/>
        <v/>
      </c>
      <c r="G57" s="9" t="str">
        <f t="shared" si="13"/>
        <v/>
      </c>
      <c r="H57" s="9" t="str">
        <f t="shared" si="14"/>
        <v/>
      </c>
      <c r="I57" s="9" t="str">
        <f t="shared" si="10"/>
        <v>false</v>
      </c>
      <c r="J57" s="9" t="str">
        <f t="shared" si="4"/>
        <v xml:space="preserve">, </v>
      </c>
      <c r="K57" s="9" t="str">
        <f t="shared" si="5"/>
        <v>$rsPessoa[''] = '';</v>
      </c>
      <c r="L57" s="9" t="str">
        <f t="shared" si="6"/>
        <v>'name' =&gt; '',    'id' =&gt; '',    'maxlength' =&gt; ,    'value' =&gt; $rsPessoa[''],    'required' =&gt; false</v>
      </c>
      <c r="M57" s="13" t="str">
        <f t="shared" si="7"/>
        <v>$    = ucwords(strtolower(trim(strip_tags(@$_POST['']?: ''))));</v>
      </c>
      <c r="N57" s="9" t="str">
        <f t="shared" si="8"/>
        <v xml:space="preserve"> = ?,</v>
      </c>
      <c r="O57" s="9" t="str">
        <f t="shared" si="15"/>
        <v>,</v>
      </c>
      <c r="P57" s="10" t="str">
        <f t="shared" si="9"/>
        <v>$stmt-&gt;bindValue(53, $);</v>
      </c>
    </row>
    <row r="58" spans="1:16" x14ac:dyDescent="0.2">
      <c r="A58" s="9">
        <v>54</v>
      </c>
      <c r="B58" s="18"/>
      <c r="C58" s="18"/>
      <c r="D58" s="18"/>
      <c r="E58" s="18"/>
      <c r="F58" s="9" t="str">
        <f t="shared" si="12"/>
        <v/>
      </c>
      <c r="G58" s="9" t="str">
        <f t="shared" si="13"/>
        <v/>
      </c>
      <c r="H58" s="9" t="str">
        <f t="shared" si="14"/>
        <v/>
      </c>
      <c r="I58" s="9" t="str">
        <f t="shared" si="10"/>
        <v>false</v>
      </c>
      <c r="J58" s="9" t="str">
        <f t="shared" si="4"/>
        <v xml:space="preserve">, </v>
      </c>
      <c r="K58" s="9" t="str">
        <f t="shared" si="5"/>
        <v>$rsPessoa[''] = '';</v>
      </c>
      <c r="L58" s="9" t="str">
        <f t="shared" si="6"/>
        <v>'name' =&gt; '',    'id' =&gt; '',    'maxlength' =&gt; ,    'value' =&gt; $rsPessoa[''],    'required' =&gt; false</v>
      </c>
      <c r="M58" s="13" t="str">
        <f t="shared" si="7"/>
        <v>$    = ucwords(strtolower(trim(strip_tags(@$_POST['']?: ''))));</v>
      </c>
      <c r="N58" s="9" t="str">
        <f t="shared" si="8"/>
        <v xml:space="preserve"> = ?,</v>
      </c>
      <c r="O58" s="9" t="str">
        <f t="shared" si="15"/>
        <v>,</v>
      </c>
      <c r="P58" s="10" t="str">
        <f t="shared" si="9"/>
        <v>$stmt-&gt;bindValue(54, $);</v>
      </c>
    </row>
    <row r="59" spans="1:16" x14ac:dyDescent="0.2">
      <c r="A59" s="9">
        <v>55</v>
      </c>
      <c r="B59" s="18"/>
      <c r="C59" s="18"/>
      <c r="D59" s="18"/>
      <c r="E59" s="18"/>
      <c r="F59" s="9" t="str">
        <f t="shared" si="12"/>
        <v/>
      </c>
      <c r="G59" s="9" t="str">
        <f t="shared" si="13"/>
        <v/>
      </c>
      <c r="H59" s="9" t="str">
        <f t="shared" si="14"/>
        <v/>
      </c>
      <c r="I59" s="9" t="str">
        <f t="shared" si="10"/>
        <v>false</v>
      </c>
      <c r="J59" s="9" t="str">
        <f t="shared" si="4"/>
        <v xml:space="preserve">, </v>
      </c>
      <c r="K59" s="9" t="str">
        <f t="shared" si="5"/>
        <v>$rsPessoa[''] = '';</v>
      </c>
      <c r="L59" s="9" t="str">
        <f t="shared" si="6"/>
        <v>'name' =&gt; '',    'id' =&gt; '',    'maxlength' =&gt; ,    'value' =&gt; $rsPessoa[''],    'required' =&gt; false</v>
      </c>
      <c r="M59" s="13" t="str">
        <f t="shared" si="7"/>
        <v>$    = ucwords(strtolower(trim(strip_tags(@$_POST['']?: ''))));</v>
      </c>
      <c r="N59" s="9" t="str">
        <f t="shared" si="8"/>
        <v xml:space="preserve"> = ?,</v>
      </c>
      <c r="O59" s="9" t="str">
        <f t="shared" si="15"/>
        <v>,</v>
      </c>
      <c r="P59" s="10" t="str">
        <f t="shared" si="9"/>
        <v>$stmt-&gt;bindValue(55, $);</v>
      </c>
    </row>
    <row r="60" spans="1:16" x14ac:dyDescent="0.2">
      <c r="A60" s="9">
        <v>56</v>
      </c>
      <c r="B60" s="18"/>
      <c r="C60" s="18"/>
      <c r="D60" s="18"/>
      <c r="E60" s="18"/>
      <c r="F60" s="9" t="str">
        <f t="shared" si="12"/>
        <v/>
      </c>
      <c r="G60" s="9" t="str">
        <f t="shared" si="13"/>
        <v/>
      </c>
      <c r="H60" s="9" t="str">
        <f t="shared" si="14"/>
        <v/>
      </c>
      <c r="I60" s="9" t="str">
        <f t="shared" si="10"/>
        <v>false</v>
      </c>
      <c r="J60" s="9" t="str">
        <f t="shared" si="4"/>
        <v xml:space="preserve">, </v>
      </c>
      <c r="K60" s="9" t="str">
        <f t="shared" si="5"/>
        <v>$rsPessoa[''] = '';</v>
      </c>
      <c r="L60" s="9" t="str">
        <f t="shared" si="6"/>
        <v>'name' =&gt; '',    'id' =&gt; '',    'maxlength' =&gt; ,    'value' =&gt; $rsPessoa[''],    'required' =&gt; false</v>
      </c>
      <c r="M60" s="13" t="str">
        <f t="shared" si="7"/>
        <v>$    = ucwords(strtolower(trim(strip_tags(@$_POST['']?: ''))));</v>
      </c>
      <c r="N60" s="9" t="str">
        <f t="shared" si="8"/>
        <v xml:space="preserve"> = ?,</v>
      </c>
      <c r="O60" s="9" t="str">
        <f t="shared" si="15"/>
        <v>,</v>
      </c>
      <c r="P60" s="10" t="str">
        <f t="shared" si="9"/>
        <v>$stmt-&gt;bindValue(56, $);</v>
      </c>
    </row>
    <row r="61" spans="1:16" x14ac:dyDescent="0.2">
      <c r="A61" s="9">
        <v>57</v>
      </c>
      <c r="B61" s="18"/>
      <c r="C61" s="18"/>
      <c r="D61" s="18"/>
      <c r="E61" s="18"/>
      <c r="F61" s="9" t="str">
        <f t="shared" si="12"/>
        <v/>
      </c>
      <c r="G61" s="9" t="str">
        <f t="shared" si="13"/>
        <v/>
      </c>
      <c r="H61" s="9" t="str">
        <f t="shared" si="14"/>
        <v/>
      </c>
      <c r="I61" s="9" t="str">
        <f t="shared" si="10"/>
        <v>false</v>
      </c>
      <c r="J61" s="9" t="str">
        <f t="shared" si="4"/>
        <v xml:space="preserve">, </v>
      </c>
      <c r="K61" s="9" t="str">
        <f t="shared" si="5"/>
        <v>$rsPessoa[''] = '';</v>
      </c>
      <c r="L61" s="9" t="str">
        <f t="shared" si="6"/>
        <v>'name' =&gt; '',    'id' =&gt; '',    'maxlength' =&gt; ,    'value' =&gt; $rsPessoa[''],    'required' =&gt; false</v>
      </c>
      <c r="M61" s="13" t="str">
        <f t="shared" si="7"/>
        <v>$    = ucwords(strtolower(trim(strip_tags(@$_POST['']?: ''))));</v>
      </c>
      <c r="N61" s="9" t="str">
        <f t="shared" si="8"/>
        <v xml:space="preserve"> = ?,</v>
      </c>
      <c r="O61" s="9" t="str">
        <f t="shared" si="15"/>
        <v>,</v>
      </c>
      <c r="P61" s="10" t="str">
        <f t="shared" si="9"/>
        <v>$stmt-&gt;bindValue(57, $);</v>
      </c>
    </row>
    <row r="62" spans="1:16" x14ac:dyDescent="0.2">
      <c r="A62" s="9">
        <v>58</v>
      </c>
      <c r="B62" s="18"/>
      <c r="C62" s="18"/>
      <c r="D62" s="18"/>
      <c r="E62" s="18"/>
      <c r="F62" s="9" t="str">
        <f t="shared" si="12"/>
        <v/>
      </c>
      <c r="G62" s="9" t="str">
        <f t="shared" si="13"/>
        <v/>
      </c>
      <c r="H62" s="9" t="str">
        <f t="shared" si="14"/>
        <v/>
      </c>
      <c r="I62" s="9" t="str">
        <f t="shared" si="10"/>
        <v>false</v>
      </c>
      <c r="J62" s="9" t="str">
        <f t="shared" si="4"/>
        <v xml:space="preserve">, </v>
      </c>
      <c r="K62" s="9" t="str">
        <f t="shared" si="5"/>
        <v>$rsPessoa[''] = '';</v>
      </c>
      <c r="L62" s="9" t="str">
        <f t="shared" si="6"/>
        <v>'name' =&gt; '',    'id' =&gt; '',    'maxlength' =&gt; ,    'value' =&gt; $rsPessoa[''],    'required' =&gt; false</v>
      </c>
      <c r="M62" s="13" t="str">
        <f t="shared" si="7"/>
        <v>$    = ucwords(strtolower(trim(strip_tags(@$_POST['']?: ''))));</v>
      </c>
      <c r="N62" s="9" t="str">
        <f t="shared" si="8"/>
        <v xml:space="preserve"> = ?,</v>
      </c>
      <c r="O62" s="9" t="str">
        <f t="shared" si="15"/>
        <v>,</v>
      </c>
      <c r="P62" s="10" t="str">
        <f t="shared" si="9"/>
        <v>$stmt-&gt;bindValue(58, $);</v>
      </c>
    </row>
    <row r="63" spans="1:16" x14ac:dyDescent="0.2">
      <c r="A63" s="9">
        <v>59</v>
      </c>
      <c r="B63" s="18"/>
      <c r="C63" s="18"/>
      <c r="D63" s="18"/>
      <c r="E63" s="18"/>
      <c r="F63" s="9" t="str">
        <f t="shared" si="12"/>
        <v/>
      </c>
      <c r="G63" s="9" t="str">
        <f t="shared" si="13"/>
        <v/>
      </c>
      <c r="H63" s="9" t="str">
        <f t="shared" si="14"/>
        <v/>
      </c>
      <c r="I63" s="9" t="str">
        <f t="shared" si="10"/>
        <v>false</v>
      </c>
      <c r="J63" s="9" t="str">
        <f t="shared" si="4"/>
        <v xml:space="preserve">, </v>
      </c>
      <c r="K63" s="9" t="str">
        <f t="shared" si="5"/>
        <v>$rsPessoa[''] = '';</v>
      </c>
      <c r="L63" s="9" t="str">
        <f t="shared" si="6"/>
        <v>'name' =&gt; '',    'id' =&gt; '',    'maxlength' =&gt; ,    'value' =&gt; $rsPessoa[''],    'required' =&gt; false</v>
      </c>
      <c r="M63" s="13" t="str">
        <f t="shared" si="7"/>
        <v>$    = ucwords(strtolower(trim(strip_tags(@$_POST['']?: ''))));</v>
      </c>
      <c r="N63" s="9" t="str">
        <f t="shared" si="8"/>
        <v xml:space="preserve"> = ?,</v>
      </c>
      <c r="O63" s="9" t="str">
        <f t="shared" si="15"/>
        <v>,</v>
      </c>
      <c r="P63" s="10" t="str">
        <f t="shared" si="9"/>
        <v>$stmt-&gt;bindValue(59, $);</v>
      </c>
    </row>
    <row r="64" spans="1:16" x14ac:dyDescent="0.2">
      <c r="A64" s="9">
        <v>60</v>
      </c>
      <c r="B64" s="18"/>
      <c r="C64" s="18"/>
      <c r="D64" s="18"/>
      <c r="E64" s="18"/>
      <c r="F64" s="9" t="str">
        <f t="shared" si="12"/>
        <v/>
      </c>
      <c r="G64" s="9" t="str">
        <f t="shared" si="13"/>
        <v/>
      </c>
      <c r="H64" s="9" t="str">
        <f t="shared" si="14"/>
        <v/>
      </c>
      <c r="I64" s="9" t="str">
        <f t="shared" si="10"/>
        <v>false</v>
      </c>
      <c r="J64" s="9" t="str">
        <f t="shared" si="4"/>
        <v xml:space="preserve">, </v>
      </c>
      <c r="K64" s="9" t="str">
        <f t="shared" si="5"/>
        <v>$rsPessoa[''] = '';</v>
      </c>
      <c r="L64" s="9" t="str">
        <f t="shared" si="6"/>
        <v>'name' =&gt; '',    'id' =&gt; '',    'maxlength' =&gt; ,    'value' =&gt; $rsPessoa[''],    'required' =&gt; false</v>
      </c>
      <c r="M64" s="13" t="str">
        <f t="shared" si="7"/>
        <v>$    = ucwords(strtolower(trim(strip_tags(@$_POST['']?: ''))));</v>
      </c>
      <c r="N64" s="9" t="str">
        <f t="shared" si="8"/>
        <v xml:space="preserve"> = ?,</v>
      </c>
      <c r="O64" s="9" t="str">
        <f t="shared" si="15"/>
        <v>,</v>
      </c>
      <c r="P64" s="10" t="str">
        <f t="shared" si="9"/>
        <v>$stmt-&gt;bindValue(60, $);</v>
      </c>
    </row>
    <row r="65" spans="1:16" x14ac:dyDescent="0.2">
      <c r="A65" s="9">
        <v>61</v>
      </c>
      <c r="B65" s="18"/>
      <c r="C65" s="18"/>
      <c r="D65" s="18"/>
      <c r="E65" s="18"/>
      <c r="F65" s="9" t="str">
        <f t="shared" si="12"/>
        <v/>
      </c>
      <c r="G65" s="9" t="str">
        <f t="shared" si="13"/>
        <v/>
      </c>
      <c r="H65" s="9" t="str">
        <f t="shared" si="14"/>
        <v/>
      </c>
      <c r="I65" s="9" t="str">
        <f t="shared" si="10"/>
        <v>false</v>
      </c>
      <c r="J65" s="9" t="str">
        <f t="shared" si="4"/>
        <v xml:space="preserve">, </v>
      </c>
      <c r="K65" s="9" t="str">
        <f t="shared" si="5"/>
        <v>$rsPessoa[''] = '';</v>
      </c>
      <c r="L65" s="9" t="str">
        <f t="shared" si="6"/>
        <v>'name' =&gt; '',    'id' =&gt; '',    'maxlength' =&gt; ,    'value' =&gt; $rsPessoa[''],    'required' =&gt; false</v>
      </c>
      <c r="M65" s="13" t="str">
        <f t="shared" si="7"/>
        <v>$    = ucwords(strtolower(trim(strip_tags(@$_POST['']?: ''))));</v>
      </c>
      <c r="N65" s="9" t="str">
        <f t="shared" si="8"/>
        <v xml:space="preserve"> = ?,</v>
      </c>
      <c r="O65" s="9" t="str">
        <f t="shared" si="15"/>
        <v>,</v>
      </c>
      <c r="P65" s="10" t="str">
        <f t="shared" si="9"/>
        <v>$stmt-&gt;bindValue(61, $);</v>
      </c>
    </row>
    <row r="66" spans="1:16" x14ac:dyDescent="0.2">
      <c r="A66" s="9">
        <v>62</v>
      </c>
      <c r="B66" s="18"/>
      <c r="C66" s="18"/>
      <c r="D66" s="18"/>
      <c r="E66" s="18"/>
      <c r="F66" s="9" t="str">
        <f t="shared" si="12"/>
        <v/>
      </c>
      <c r="G66" s="9" t="str">
        <f t="shared" si="13"/>
        <v/>
      </c>
      <c r="H66" s="9" t="str">
        <f t="shared" si="14"/>
        <v/>
      </c>
      <c r="I66" s="9" t="str">
        <f t="shared" si="10"/>
        <v>false</v>
      </c>
      <c r="J66" s="9" t="str">
        <f t="shared" si="4"/>
        <v xml:space="preserve">, </v>
      </c>
      <c r="K66" s="9" t="str">
        <f t="shared" si="5"/>
        <v>$rsPessoa[''] = '';</v>
      </c>
      <c r="L66" s="9" t="str">
        <f t="shared" si="6"/>
        <v>'name' =&gt; '',    'id' =&gt; '',    'maxlength' =&gt; ,    'value' =&gt; $rsPessoa[''],    'required' =&gt; false</v>
      </c>
      <c r="M66" s="13" t="str">
        <f t="shared" si="7"/>
        <v>$    = ucwords(strtolower(trim(strip_tags(@$_POST['']?: ''))));</v>
      </c>
      <c r="N66" s="9" t="str">
        <f t="shared" si="8"/>
        <v xml:space="preserve"> = ?,</v>
      </c>
      <c r="O66" s="9" t="str">
        <f t="shared" si="15"/>
        <v>,</v>
      </c>
      <c r="P66" s="10" t="str">
        <f t="shared" si="9"/>
        <v>$stmt-&gt;bindValue(62, $);</v>
      </c>
    </row>
    <row r="67" spans="1:16" x14ac:dyDescent="0.2">
      <c r="A67" s="9">
        <v>63</v>
      </c>
      <c r="B67" s="18"/>
      <c r="C67" s="18"/>
      <c r="D67" s="18"/>
      <c r="E67" s="18"/>
      <c r="F67" s="9" t="str">
        <f t="shared" si="12"/>
        <v/>
      </c>
      <c r="G67" s="9" t="str">
        <f t="shared" si="13"/>
        <v/>
      </c>
      <c r="H67" s="9" t="str">
        <f t="shared" si="14"/>
        <v/>
      </c>
      <c r="I67" s="9" t="str">
        <f t="shared" si="10"/>
        <v>false</v>
      </c>
      <c r="J67" s="9" t="str">
        <f t="shared" si="4"/>
        <v xml:space="preserve">, </v>
      </c>
      <c r="K67" s="9" t="str">
        <f t="shared" si="5"/>
        <v>$rsPessoa[''] = '';</v>
      </c>
      <c r="L67" s="9" t="str">
        <f t="shared" si="6"/>
        <v>'name' =&gt; '',    'id' =&gt; '',    'maxlength' =&gt; ,    'value' =&gt; $rsPessoa[''],    'required' =&gt; false</v>
      </c>
      <c r="M67" s="13" t="str">
        <f t="shared" si="7"/>
        <v>$    = ucwords(strtolower(trim(strip_tags(@$_POST['']?: ''))));</v>
      </c>
      <c r="N67" s="9" t="str">
        <f t="shared" si="8"/>
        <v xml:space="preserve"> = ?,</v>
      </c>
      <c r="O67" s="9" t="str">
        <f t="shared" si="15"/>
        <v>,</v>
      </c>
      <c r="P67" s="10" t="str">
        <f t="shared" si="9"/>
        <v>$stmt-&gt;bindValue(63, $);</v>
      </c>
    </row>
    <row r="68" spans="1:16" x14ac:dyDescent="0.2">
      <c r="A68" s="9">
        <v>64</v>
      </c>
      <c r="B68" s="18"/>
      <c r="C68" s="18"/>
      <c r="D68" s="18"/>
      <c r="E68" s="18"/>
      <c r="F68" s="9" t="str">
        <f t="shared" si="12"/>
        <v/>
      </c>
      <c r="G68" s="9" t="str">
        <f t="shared" si="13"/>
        <v/>
      </c>
      <c r="H68" s="9" t="str">
        <f t="shared" si="14"/>
        <v/>
      </c>
      <c r="I68" s="9" t="str">
        <f t="shared" si="10"/>
        <v>false</v>
      </c>
      <c r="J68" s="9" t="str">
        <f t="shared" si="4"/>
        <v xml:space="preserve">, </v>
      </c>
      <c r="K68" s="9" t="str">
        <f t="shared" si="5"/>
        <v>$rsPessoa[''] = '';</v>
      </c>
      <c r="L68" s="9" t="str">
        <f t="shared" si="6"/>
        <v>'name' =&gt; '',    'id' =&gt; '',    'maxlength' =&gt; ,    'value' =&gt; $rsPessoa[''],    'required' =&gt; false</v>
      </c>
      <c r="M68" s="13" t="str">
        <f t="shared" si="7"/>
        <v>$    = ucwords(strtolower(trim(strip_tags(@$_POST['']?: ''))));</v>
      </c>
      <c r="N68" s="9" t="str">
        <f t="shared" si="8"/>
        <v xml:space="preserve"> = ?,</v>
      </c>
      <c r="O68" s="9" t="str">
        <f t="shared" si="15"/>
        <v>,</v>
      </c>
      <c r="P68" s="10" t="str">
        <f t="shared" si="9"/>
        <v>$stmt-&gt;bindValue(64, $);</v>
      </c>
    </row>
    <row r="69" spans="1:16" x14ac:dyDescent="0.2">
      <c r="A69" s="9">
        <v>65</v>
      </c>
      <c r="B69" s="18"/>
      <c r="C69" s="18"/>
      <c r="D69" s="18"/>
      <c r="E69" s="18"/>
      <c r="F69" s="9" t="str">
        <f t="shared" si="12"/>
        <v/>
      </c>
      <c r="G69" s="9" t="str">
        <f t="shared" si="13"/>
        <v/>
      </c>
      <c r="H69" s="9" t="str">
        <f t="shared" si="14"/>
        <v/>
      </c>
      <c r="I69" s="9" t="str">
        <f t="shared" si="10"/>
        <v>false</v>
      </c>
      <c r="J69" s="9" t="str">
        <f t="shared" si="4"/>
        <v xml:space="preserve">, </v>
      </c>
      <c r="K69" s="9" t="str">
        <f t="shared" si="5"/>
        <v>$rsPessoa[''] = '';</v>
      </c>
      <c r="L69" s="9" t="str">
        <f t="shared" si="6"/>
        <v>'name' =&gt; '',    'id' =&gt; '',    'maxlength' =&gt; ,    'value' =&gt; $rsPessoa[''],    'required' =&gt; false</v>
      </c>
      <c r="M69" s="13" t="str">
        <f t="shared" si="7"/>
        <v>$    = ucwords(strtolower(trim(strip_tags(@$_POST['']?: ''))));</v>
      </c>
      <c r="N69" s="9" t="str">
        <f t="shared" si="8"/>
        <v xml:space="preserve"> = ?,</v>
      </c>
      <c r="O69" s="9" t="str">
        <f t="shared" ref="O69:O104" si="16">CONCATENATE(F69,",")</f>
        <v>,</v>
      </c>
      <c r="P69" s="10" t="str">
        <f t="shared" si="9"/>
        <v>$stmt-&gt;bindValue(65, $);</v>
      </c>
    </row>
    <row r="70" spans="1:16" x14ac:dyDescent="0.2">
      <c r="A70" s="9">
        <v>66</v>
      </c>
      <c r="B70" s="18"/>
      <c r="C70" s="18"/>
      <c r="D70" s="18"/>
      <c r="E70" s="18"/>
      <c r="F70" s="9" t="str">
        <f t="shared" si="12"/>
        <v/>
      </c>
      <c r="G70" s="9" t="str">
        <f t="shared" si="13"/>
        <v/>
      </c>
      <c r="H70" s="9" t="str">
        <f t="shared" si="14"/>
        <v/>
      </c>
      <c r="I70" s="9" t="str">
        <f t="shared" si="10"/>
        <v>false</v>
      </c>
      <c r="J70" s="9" t="str">
        <f t="shared" ref="J70:J104" si="17">CONCATENATE(B70,F70,", ")</f>
        <v xml:space="preserve">, </v>
      </c>
      <c r="K70" s="9" t="str">
        <f t="shared" ref="K70:K104" si="18">CONCATENATE(K$4,"['",F70,"'] = '';")</f>
        <v>$rsPessoa[''] = '';</v>
      </c>
      <c r="L70" s="9" t="str">
        <f t="shared" ref="L70:L104" si="19">CONCATENATE("'name' =&gt; '",B70,F70,"',    ","'id' =&gt; '",B70,F70,"',    ","'maxlength' =&gt; ",H70,",    ","'value' =&gt; ",K$4,"['",F70,"'],    ","'required' =&gt; ",I70)</f>
        <v>'name' =&gt; '',    'id' =&gt; '',    'maxlength' =&gt; ,    'value' =&gt; $rsPessoa[''],    'required' =&gt; false</v>
      </c>
      <c r="M70" s="13" t="str">
        <f t="shared" ref="M70:M104" si="20">CONCATENATE("$",F70,"    = ",IF(OR(IFERROR(FIND("dt_",F70),0)&gt;0,IFERROR(FIND("_id",F70),0)&gt;0,F70="status"),"","ucwords(strtolower(trim("),"strip_tags(@$_POST['",B70,F70,"']?: ",IF(F70="status","0)","'')"),IF(OR(IFERROR(FIND("dt_",F70),0)&gt;0,IFERROR(FIND("_id",F70),0)&gt;0,F70="status"),";",")));"))</f>
        <v>$    = ucwords(strtolower(trim(strip_tags(@$_POST['']?: ''))));</v>
      </c>
      <c r="N70" s="9" t="str">
        <f t="shared" ref="N70:N104" si="21">CONCATENATE(F70," = ?,")</f>
        <v xml:space="preserve"> = ?,</v>
      </c>
      <c r="O70" s="9" t="str">
        <f t="shared" si="16"/>
        <v>,</v>
      </c>
      <c r="P70" s="10" t="str">
        <f t="shared" ref="P70:P104" si="22">CONCATENATE("$stmt-&gt;bindValue(",A70,", $",F70,IF(OR(IFERROR(FIND("dt_",F70),0)&gt;0,IFERROR(FIND("_id",F70),0)&gt;0),"?: NULL);",");"))</f>
        <v>$stmt-&gt;bindValue(66, $);</v>
      </c>
    </row>
    <row r="71" spans="1:16" x14ac:dyDescent="0.2">
      <c r="A71" s="9">
        <v>67</v>
      </c>
      <c r="B71" s="18"/>
      <c r="C71" s="18"/>
      <c r="D71" s="18"/>
      <c r="E71" s="18"/>
      <c r="F71" s="9" t="str">
        <f t="shared" si="12"/>
        <v/>
      </c>
      <c r="G71" s="9" t="str">
        <f t="shared" si="13"/>
        <v/>
      </c>
      <c r="H71" s="9" t="str">
        <f t="shared" si="14"/>
        <v/>
      </c>
      <c r="I71" s="9" t="str">
        <f t="shared" ref="I71:I104" si="23">IF((IFERROR(FIND("NOT NULL",C71),0))&gt;0,"true","false")</f>
        <v>false</v>
      </c>
      <c r="J71" s="9" t="str">
        <f t="shared" si="17"/>
        <v xml:space="preserve">, </v>
      </c>
      <c r="K71" s="9" t="str">
        <f t="shared" si="18"/>
        <v>$rsPessoa[''] = '';</v>
      </c>
      <c r="L71" s="9" t="str">
        <f t="shared" si="19"/>
        <v>'name' =&gt; '',    'id' =&gt; '',    'maxlength' =&gt; ,    'value' =&gt; $rsPessoa[''],    'required' =&gt; false</v>
      </c>
      <c r="M71" s="13" t="str">
        <f t="shared" si="20"/>
        <v>$    = ucwords(strtolower(trim(strip_tags(@$_POST['']?: ''))));</v>
      </c>
      <c r="N71" s="9" t="str">
        <f t="shared" si="21"/>
        <v xml:space="preserve"> = ?,</v>
      </c>
      <c r="O71" s="9" t="str">
        <f t="shared" si="16"/>
        <v>,</v>
      </c>
      <c r="P71" s="10" t="str">
        <f t="shared" si="22"/>
        <v>$stmt-&gt;bindValue(67, $);</v>
      </c>
    </row>
    <row r="72" spans="1:16" x14ac:dyDescent="0.2">
      <c r="A72" s="9">
        <v>68</v>
      </c>
      <c r="B72" s="18"/>
      <c r="C72" s="18"/>
      <c r="D72" s="18"/>
      <c r="E72" s="18"/>
      <c r="F72" s="9" t="str">
        <f t="shared" si="12"/>
        <v/>
      </c>
      <c r="G72" s="9" t="str">
        <f t="shared" si="13"/>
        <v/>
      </c>
      <c r="H72" s="9" t="str">
        <f t="shared" si="14"/>
        <v/>
      </c>
      <c r="I72" s="9" t="str">
        <f t="shared" si="23"/>
        <v>false</v>
      </c>
      <c r="J72" s="9" t="str">
        <f t="shared" si="17"/>
        <v xml:space="preserve">, </v>
      </c>
      <c r="K72" s="9" t="str">
        <f t="shared" si="18"/>
        <v>$rsPessoa[''] = '';</v>
      </c>
      <c r="L72" s="9" t="str">
        <f t="shared" si="19"/>
        <v>'name' =&gt; '',    'id' =&gt; '',    'maxlength' =&gt; ,    'value' =&gt; $rsPessoa[''],    'required' =&gt; false</v>
      </c>
      <c r="M72" s="13" t="str">
        <f t="shared" si="20"/>
        <v>$    = ucwords(strtolower(trim(strip_tags(@$_POST['']?: ''))));</v>
      </c>
      <c r="N72" s="9" t="str">
        <f t="shared" si="21"/>
        <v xml:space="preserve"> = ?,</v>
      </c>
      <c r="O72" s="9" t="str">
        <f t="shared" si="16"/>
        <v>,</v>
      </c>
      <c r="P72" s="10" t="str">
        <f t="shared" si="22"/>
        <v>$stmt-&gt;bindValue(68, $);</v>
      </c>
    </row>
    <row r="73" spans="1:16" x14ac:dyDescent="0.2">
      <c r="A73" s="9">
        <v>69</v>
      </c>
      <c r="B73" s="18"/>
      <c r="C73" s="18"/>
      <c r="D73" s="18"/>
      <c r="E73" s="18"/>
      <c r="F73" s="9" t="str">
        <f t="shared" si="12"/>
        <v/>
      </c>
      <c r="G73" s="9" t="str">
        <f t="shared" si="13"/>
        <v/>
      </c>
      <c r="H73" s="9" t="str">
        <f t="shared" si="14"/>
        <v/>
      </c>
      <c r="I73" s="9" t="str">
        <f t="shared" si="23"/>
        <v>false</v>
      </c>
      <c r="J73" s="9" t="str">
        <f t="shared" si="17"/>
        <v xml:space="preserve">, </v>
      </c>
      <c r="K73" s="9" t="str">
        <f t="shared" si="18"/>
        <v>$rsPessoa[''] = '';</v>
      </c>
      <c r="L73" s="9" t="str">
        <f t="shared" si="19"/>
        <v>'name' =&gt; '',    'id' =&gt; '',    'maxlength' =&gt; ,    'value' =&gt; $rsPessoa[''],    'required' =&gt; false</v>
      </c>
      <c r="M73" s="13" t="str">
        <f t="shared" si="20"/>
        <v>$    = ucwords(strtolower(trim(strip_tags(@$_POST['']?: ''))));</v>
      </c>
      <c r="N73" s="9" t="str">
        <f t="shared" si="21"/>
        <v xml:space="preserve"> = ?,</v>
      </c>
      <c r="O73" s="9" t="str">
        <f t="shared" si="16"/>
        <v>,</v>
      </c>
      <c r="P73" s="10" t="str">
        <f t="shared" si="22"/>
        <v>$stmt-&gt;bindValue(69, $);</v>
      </c>
    </row>
    <row r="74" spans="1:16" x14ac:dyDescent="0.2">
      <c r="A74" s="9">
        <v>70</v>
      </c>
      <c r="B74" s="18"/>
      <c r="C74" s="18"/>
      <c r="D74" s="18"/>
      <c r="E74" s="18"/>
      <c r="F74" s="9" t="str">
        <f t="shared" si="12"/>
        <v/>
      </c>
      <c r="G74" s="9" t="str">
        <f t="shared" si="13"/>
        <v/>
      </c>
      <c r="H74" s="9" t="str">
        <f t="shared" si="14"/>
        <v/>
      </c>
      <c r="I74" s="9" t="str">
        <f t="shared" si="23"/>
        <v>false</v>
      </c>
      <c r="J74" s="9" t="str">
        <f t="shared" si="17"/>
        <v xml:space="preserve">, </v>
      </c>
      <c r="K74" s="9" t="str">
        <f t="shared" si="18"/>
        <v>$rsPessoa[''] = '';</v>
      </c>
      <c r="L74" s="9" t="str">
        <f t="shared" si="19"/>
        <v>'name' =&gt; '',    'id' =&gt; '',    'maxlength' =&gt; ,    'value' =&gt; $rsPessoa[''],    'required' =&gt; false</v>
      </c>
      <c r="M74" s="13" t="str">
        <f t="shared" si="20"/>
        <v>$    = ucwords(strtolower(trim(strip_tags(@$_POST['']?: ''))));</v>
      </c>
      <c r="N74" s="9" t="str">
        <f t="shared" si="21"/>
        <v xml:space="preserve"> = ?,</v>
      </c>
      <c r="O74" s="9" t="str">
        <f t="shared" si="16"/>
        <v>,</v>
      </c>
      <c r="P74" s="10" t="str">
        <f t="shared" si="22"/>
        <v>$stmt-&gt;bindValue(70, $);</v>
      </c>
    </row>
    <row r="75" spans="1:16" x14ac:dyDescent="0.2">
      <c r="A75" s="9">
        <v>71</v>
      </c>
      <c r="B75" s="18"/>
      <c r="C75" s="18"/>
      <c r="D75" s="18"/>
      <c r="E75" s="18"/>
      <c r="F75" s="9" t="str">
        <f t="shared" si="12"/>
        <v/>
      </c>
      <c r="G75" s="9" t="str">
        <f t="shared" si="13"/>
        <v/>
      </c>
      <c r="H75" s="9" t="str">
        <f t="shared" si="14"/>
        <v/>
      </c>
      <c r="I75" s="9" t="str">
        <f t="shared" si="23"/>
        <v>false</v>
      </c>
      <c r="J75" s="9" t="str">
        <f t="shared" si="17"/>
        <v xml:space="preserve">, </v>
      </c>
      <c r="K75" s="9" t="str">
        <f t="shared" si="18"/>
        <v>$rsPessoa[''] = '';</v>
      </c>
      <c r="L75" s="9" t="str">
        <f t="shared" si="19"/>
        <v>'name' =&gt; '',    'id' =&gt; '',    'maxlength' =&gt; ,    'value' =&gt; $rsPessoa[''],    'required' =&gt; false</v>
      </c>
      <c r="M75" s="13" t="str">
        <f t="shared" si="20"/>
        <v>$    = ucwords(strtolower(trim(strip_tags(@$_POST['']?: ''))));</v>
      </c>
      <c r="N75" s="9" t="str">
        <f t="shared" si="21"/>
        <v xml:space="preserve"> = ?,</v>
      </c>
      <c r="O75" s="9" t="str">
        <f t="shared" si="16"/>
        <v>,</v>
      </c>
      <c r="P75" s="10" t="str">
        <f t="shared" si="22"/>
        <v>$stmt-&gt;bindValue(71, $);</v>
      </c>
    </row>
    <row r="76" spans="1:16" x14ac:dyDescent="0.2">
      <c r="A76" s="9">
        <v>72</v>
      </c>
      <c r="B76" s="18"/>
      <c r="C76" s="18"/>
      <c r="D76" s="18"/>
      <c r="E76" s="18"/>
      <c r="F76" s="9" t="str">
        <f t="shared" si="12"/>
        <v/>
      </c>
      <c r="G76" s="9" t="str">
        <f t="shared" si="13"/>
        <v/>
      </c>
      <c r="H76" s="9" t="str">
        <f t="shared" si="14"/>
        <v/>
      </c>
      <c r="I76" s="9" t="str">
        <f t="shared" si="23"/>
        <v>false</v>
      </c>
      <c r="J76" s="9" t="str">
        <f t="shared" si="17"/>
        <v xml:space="preserve">, </v>
      </c>
      <c r="K76" s="9" t="str">
        <f t="shared" si="18"/>
        <v>$rsPessoa[''] = '';</v>
      </c>
      <c r="L76" s="9" t="str">
        <f t="shared" si="19"/>
        <v>'name' =&gt; '',    'id' =&gt; '',    'maxlength' =&gt; ,    'value' =&gt; $rsPessoa[''],    'required' =&gt; false</v>
      </c>
      <c r="M76" s="13" t="str">
        <f t="shared" si="20"/>
        <v>$    = ucwords(strtolower(trim(strip_tags(@$_POST['']?: ''))));</v>
      </c>
      <c r="N76" s="9" t="str">
        <f t="shared" si="21"/>
        <v xml:space="preserve"> = ?,</v>
      </c>
      <c r="O76" s="9" t="str">
        <f t="shared" si="16"/>
        <v>,</v>
      </c>
      <c r="P76" s="10" t="str">
        <f t="shared" si="22"/>
        <v>$stmt-&gt;bindValue(72, $);</v>
      </c>
    </row>
    <row r="77" spans="1:16" x14ac:dyDescent="0.2">
      <c r="A77" s="9">
        <v>73</v>
      </c>
      <c r="B77" s="18"/>
      <c r="C77" s="18"/>
      <c r="D77" s="18"/>
      <c r="E77" s="18"/>
      <c r="F77" s="9" t="str">
        <f t="shared" si="12"/>
        <v/>
      </c>
      <c r="G77" s="9" t="str">
        <f t="shared" si="13"/>
        <v/>
      </c>
      <c r="H77" s="9" t="str">
        <f t="shared" si="14"/>
        <v/>
      </c>
      <c r="I77" s="9" t="str">
        <f t="shared" si="23"/>
        <v>false</v>
      </c>
      <c r="J77" s="9" t="str">
        <f t="shared" si="17"/>
        <v xml:space="preserve">, </v>
      </c>
      <c r="K77" s="9" t="str">
        <f t="shared" si="18"/>
        <v>$rsPessoa[''] = '';</v>
      </c>
      <c r="L77" s="9" t="str">
        <f t="shared" si="19"/>
        <v>'name' =&gt; '',    'id' =&gt; '',    'maxlength' =&gt; ,    'value' =&gt; $rsPessoa[''],    'required' =&gt; false</v>
      </c>
      <c r="M77" s="13" t="str">
        <f t="shared" si="20"/>
        <v>$    = ucwords(strtolower(trim(strip_tags(@$_POST['']?: ''))));</v>
      </c>
      <c r="N77" s="9" t="str">
        <f t="shared" si="21"/>
        <v xml:space="preserve"> = ?,</v>
      </c>
      <c r="O77" s="9" t="str">
        <f t="shared" si="16"/>
        <v>,</v>
      </c>
      <c r="P77" s="10" t="str">
        <f t="shared" si="22"/>
        <v>$stmt-&gt;bindValue(73, $);</v>
      </c>
    </row>
    <row r="78" spans="1:16" x14ac:dyDescent="0.2">
      <c r="A78" s="9">
        <v>74</v>
      </c>
      <c r="B78" s="18"/>
      <c r="C78" s="18"/>
      <c r="D78" s="18"/>
      <c r="E78" s="18"/>
      <c r="F78" s="9" t="str">
        <f t="shared" si="12"/>
        <v/>
      </c>
      <c r="G78" s="9" t="str">
        <f t="shared" si="13"/>
        <v/>
      </c>
      <c r="H78" s="9" t="str">
        <f t="shared" si="14"/>
        <v/>
      </c>
      <c r="I78" s="9" t="str">
        <f t="shared" si="23"/>
        <v>false</v>
      </c>
      <c r="J78" s="9" t="str">
        <f t="shared" si="17"/>
        <v xml:space="preserve">, </v>
      </c>
      <c r="K78" s="9" t="str">
        <f t="shared" si="18"/>
        <v>$rsPessoa[''] = '';</v>
      </c>
      <c r="L78" s="9" t="str">
        <f t="shared" si="19"/>
        <v>'name' =&gt; '',    'id' =&gt; '',    'maxlength' =&gt; ,    'value' =&gt; $rsPessoa[''],    'required' =&gt; false</v>
      </c>
      <c r="M78" s="13" t="str">
        <f t="shared" si="20"/>
        <v>$    = ucwords(strtolower(trim(strip_tags(@$_POST['']?: ''))));</v>
      </c>
      <c r="N78" s="9" t="str">
        <f t="shared" si="21"/>
        <v xml:space="preserve"> = ?,</v>
      </c>
      <c r="O78" s="9" t="str">
        <f t="shared" si="16"/>
        <v>,</v>
      </c>
      <c r="P78" s="10" t="str">
        <f t="shared" si="22"/>
        <v>$stmt-&gt;bindValue(74, $);</v>
      </c>
    </row>
    <row r="79" spans="1:16" x14ac:dyDescent="0.2">
      <c r="A79" s="9">
        <v>75</v>
      </c>
      <c r="B79" s="18"/>
      <c r="C79" s="18"/>
      <c r="D79" s="18"/>
      <c r="E79" s="18"/>
      <c r="F79" s="9" t="str">
        <f t="shared" si="12"/>
        <v/>
      </c>
      <c r="G79" s="9" t="str">
        <f t="shared" si="13"/>
        <v/>
      </c>
      <c r="H79" s="9" t="str">
        <f t="shared" si="14"/>
        <v/>
      </c>
      <c r="I79" s="9" t="str">
        <f t="shared" si="23"/>
        <v>false</v>
      </c>
      <c r="J79" s="9" t="str">
        <f t="shared" si="17"/>
        <v xml:space="preserve">, </v>
      </c>
      <c r="K79" s="9" t="str">
        <f t="shared" si="18"/>
        <v>$rsPessoa[''] = '';</v>
      </c>
      <c r="L79" s="9" t="str">
        <f t="shared" si="19"/>
        <v>'name' =&gt; '',    'id' =&gt; '',    'maxlength' =&gt; ,    'value' =&gt; $rsPessoa[''],    'required' =&gt; false</v>
      </c>
      <c r="M79" s="13" t="str">
        <f t="shared" si="20"/>
        <v>$    = ucwords(strtolower(trim(strip_tags(@$_POST['']?: ''))));</v>
      </c>
      <c r="N79" s="9" t="str">
        <f t="shared" si="21"/>
        <v xml:space="preserve"> = ?,</v>
      </c>
      <c r="O79" s="9" t="str">
        <f t="shared" si="16"/>
        <v>,</v>
      </c>
      <c r="P79" s="10" t="str">
        <f t="shared" si="22"/>
        <v>$stmt-&gt;bindValue(75, $);</v>
      </c>
    </row>
    <row r="80" spans="1:16" x14ac:dyDescent="0.2">
      <c r="A80" s="9">
        <v>76</v>
      </c>
      <c r="B80" s="18"/>
      <c r="C80" s="18"/>
      <c r="D80" s="18"/>
      <c r="E80" s="18"/>
      <c r="F80" s="9" t="str">
        <f t="shared" si="12"/>
        <v/>
      </c>
      <c r="G80" s="9" t="str">
        <f t="shared" si="13"/>
        <v/>
      </c>
      <c r="H80" s="9" t="str">
        <f t="shared" si="14"/>
        <v/>
      </c>
      <c r="I80" s="9" t="str">
        <f t="shared" si="23"/>
        <v>false</v>
      </c>
      <c r="J80" s="9" t="str">
        <f t="shared" si="17"/>
        <v xml:space="preserve">, </v>
      </c>
      <c r="K80" s="9" t="str">
        <f t="shared" si="18"/>
        <v>$rsPessoa[''] = '';</v>
      </c>
      <c r="L80" s="9" t="str">
        <f t="shared" si="19"/>
        <v>'name' =&gt; '',    'id' =&gt; '',    'maxlength' =&gt; ,    'value' =&gt; $rsPessoa[''],    'required' =&gt; false</v>
      </c>
      <c r="M80" s="13" t="str">
        <f t="shared" si="20"/>
        <v>$    = ucwords(strtolower(trim(strip_tags(@$_POST['']?: ''))));</v>
      </c>
      <c r="N80" s="9" t="str">
        <f t="shared" si="21"/>
        <v xml:space="preserve"> = ?,</v>
      </c>
      <c r="O80" s="9" t="str">
        <f t="shared" si="16"/>
        <v>,</v>
      </c>
      <c r="P80" s="10" t="str">
        <f t="shared" si="22"/>
        <v>$stmt-&gt;bindValue(76, $);</v>
      </c>
    </row>
    <row r="81" spans="1:16" x14ac:dyDescent="0.2">
      <c r="A81" s="9">
        <v>77</v>
      </c>
      <c r="B81" s="18"/>
      <c r="C81" s="18"/>
      <c r="D81" s="18"/>
      <c r="E81" s="18"/>
      <c r="F81" s="9" t="str">
        <f t="shared" si="12"/>
        <v/>
      </c>
      <c r="G81" s="9" t="str">
        <f t="shared" si="13"/>
        <v/>
      </c>
      <c r="H81" s="9" t="str">
        <f t="shared" si="14"/>
        <v/>
      </c>
      <c r="I81" s="9" t="str">
        <f t="shared" si="23"/>
        <v>false</v>
      </c>
      <c r="J81" s="9" t="str">
        <f t="shared" si="17"/>
        <v xml:space="preserve">, </v>
      </c>
      <c r="K81" s="9" t="str">
        <f t="shared" si="18"/>
        <v>$rsPessoa[''] = '';</v>
      </c>
      <c r="L81" s="9" t="str">
        <f t="shared" si="19"/>
        <v>'name' =&gt; '',    'id' =&gt; '',    'maxlength' =&gt; ,    'value' =&gt; $rsPessoa[''],    'required' =&gt; false</v>
      </c>
      <c r="M81" s="13" t="str">
        <f t="shared" si="20"/>
        <v>$    = ucwords(strtolower(trim(strip_tags(@$_POST['']?: ''))));</v>
      </c>
      <c r="N81" s="9" t="str">
        <f t="shared" si="21"/>
        <v xml:space="preserve"> = ?,</v>
      </c>
      <c r="O81" s="9" t="str">
        <f t="shared" si="16"/>
        <v>,</v>
      </c>
      <c r="P81" s="10" t="str">
        <f t="shared" si="22"/>
        <v>$stmt-&gt;bindValue(77, $);</v>
      </c>
    </row>
    <row r="82" spans="1:16" x14ac:dyDescent="0.2">
      <c r="A82" s="9">
        <v>78</v>
      </c>
      <c r="B82" s="18"/>
      <c r="C82" s="18"/>
      <c r="D82" s="18"/>
      <c r="E82" s="18"/>
      <c r="F82" s="9" t="str">
        <f t="shared" si="12"/>
        <v/>
      </c>
      <c r="G82" s="9" t="str">
        <f t="shared" si="13"/>
        <v/>
      </c>
      <c r="H82" s="9" t="str">
        <f t="shared" si="14"/>
        <v/>
      </c>
      <c r="I82" s="9" t="str">
        <f t="shared" si="23"/>
        <v>false</v>
      </c>
      <c r="J82" s="9" t="str">
        <f t="shared" si="17"/>
        <v xml:space="preserve">, </v>
      </c>
      <c r="K82" s="9" t="str">
        <f t="shared" si="18"/>
        <v>$rsPessoa[''] = '';</v>
      </c>
      <c r="L82" s="9" t="str">
        <f t="shared" si="19"/>
        <v>'name' =&gt; '',    'id' =&gt; '',    'maxlength' =&gt; ,    'value' =&gt; $rsPessoa[''],    'required' =&gt; false</v>
      </c>
      <c r="M82" s="13" t="str">
        <f t="shared" si="20"/>
        <v>$    = ucwords(strtolower(trim(strip_tags(@$_POST['']?: ''))));</v>
      </c>
      <c r="N82" s="9" t="str">
        <f t="shared" si="21"/>
        <v xml:space="preserve"> = ?,</v>
      </c>
      <c r="O82" s="9" t="str">
        <f t="shared" si="16"/>
        <v>,</v>
      </c>
      <c r="P82" s="10" t="str">
        <f t="shared" si="22"/>
        <v>$stmt-&gt;bindValue(78, $);</v>
      </c>
    </row>
    <row r="83" spans="1:16" x14ac:dyDescent="0.2">
      <c r="A83" s="9">
        <v>79</v>
      </c>
      <c r="B83" s="18"/>
      <c r="C83" s="18"/>
      <c r="D83" s="18"/>
      <c r="E83" s="18"/>
      <c r="F83" s="9" t="str">
        <f t="shared" si="12"/>
        <v/>
      </c>
      <c r="G83" s="9" t="str">
        <f t="shared" si="13"/>
        <v/>
      </c>
      <c r="H83" s="9" t="str">
        <f t="shared" si="14"/>
        <v/>
      </c>
      <c r="I83" s="9" t="str">
        <f t="shared" si="23"/>
        <v>false</v>
      </c>
      <c r="J83" s="9" t="str">
        <f t="shared" si="17"/>
        <v xml:space="preserve">, </v>
      </c>
      <c r="K83" s="9" t="str">
        <f t="shared" si="18"/>
        <v>$rsPessoa[''] = '';</v>
      </c>
      <c r="L83" s="9" t="str">
        <f t="shared" si="19"/>
        <v>'name' =&gt; '',    'id' =&gt; '',    'maxlength' =&gt; ,    'value' =&gt; $rsPessoa[''],    'required' =&gt; false</v>
      </c>
      <c r="M83" s="13" t="str">
        <f t="shared" si="20"/>
        <v>$    = ucwords(strtolower(trim(strip_tags(@$_POST['']?: ''))));</v>
      </c>
      <c r="N83" s="9" t="str">
        <f t="shared" si="21"/>
        <v xml:space="preserve"> = ?,</v>
      </c>
      <c r="O83" s="9" t="str">
        <f t="shared" si="16"/>
        <v>,</v>
      </c>
      <c r="P83" s="10" t="str">
        <f t="shared" si="22"/>
        <v>$stmt-&gt;bindValue(79, $);</v>
      </c>
    </row>
    <row r="84" spans="1:16" x14ac:dyDescent="0.2">
      <c r="A84" s="9">
        <v>80</v>
      </c>
      <c r="B84" s="18"/>
      <c r="C84" s="18"/>
      <c r="D84" s="18"/>
      <c r="E84" s="18"/>
      <c r="F84" s="9" t="str">
        <f t="shared" si="12"/>
        <v/>
      </c>
      <c r="G84" s="9" t="str">
        <f t="shared" si="13"/>
        <v/>
      </c>
      <c r="H84" s="9" t="str">
        <f t="shared" si="14"/>
        <v/>
      </c>
      <c r="I84" s="9" t="str">
        <f t="shared" si="23"/>
        <v>false</v>
      </c>
      <c r="J84" s="9" t="str">
        <f t="shared" si="17"/>
        <v xml:space="preserve">, </v>
      </c>
      <c r="K84" s="9" t="str">
        <f t="shared" si="18"/>
        <v>$rsPessoa[''] = '';</v>
      </c>
      <c r="L84" s="9" t="str">
        <f t="shared" si="19"/>
        <v>'name' =&gt; '',    'id' =&gt; '',    'maxlength' =&gt; ,    'value' =&gt; $rsPessoa[''],    'required' =&gt; false</v>
      </c>
      <c r="M84" s="13" t="str">
        <f t="shared" si="20"/>
        <v>$    = ucwords(strtolower(trim(strip_tags(@$_POST['']?: ''))));</v>
      </c>
      <c r="N84" s="9" t="str">
        <f t="shared" si="21"/>
        <v xml:space="preserve"> = ?,</v>
      </c>
      <c r="O84" s="9" t="str">
        <f t="shared" si="16"/>
        <v>,</v>
      </c>
      <c r="P84" s="10" t="str">
        <f t="shared" si="22"/>
        <v>$stmt-&gt;bindValue(80, $);</v>
      </c>
    </row>
    <row r="85" spans="1:16" x14ac:dyDescent="0.2">
      <c r="A85" s="9">
        <v>81</v>
      </c>
      <c r="B85" s="18"/>
      <c r="C85" s="18"/>
      <c r="D85" s="18"/>
      <c r="E85" s="18"/>
      <c r="F85" s="9" t="str">
        <f t="shared" si="12"/>
        <v/>
      </c>
      <c r="G85" s="9" t="str">
        <f t="shared" si="13"/>
        <v/>
      </c>
      <c r="H85" s="9" t="str">
        <f t="shared" si="14"/>
        <v/>
      </c>
      <c r="I85" s="9" t="str">
        <f t="shared" si="23"/>
        <v>false</v>
      </c>
      <c r="J85" s="9" t="str">
        <f t="shared" si="17"/>
        <v xml:space="preserve">, </v>
      </c>
      <c r="K85" s="9" t="str">
        <f t="shared" si="18"/>
        <v>$rsPessoa[''] = '';</v>
      </c>
      <c r="L85" s="9" t="str">
        <f t="shared" si="19"/>
        <v>'name' =&gt; '',    'id' =&gt; '',    'maxlength' =&gt; ,    'value' =&gt; $rsPessoa[''],    'required' =&gt; false</v>
      </c>
      <c r="M85" s="13" t="str">
        <f t="shared" si="20"/>
        <v>$    = ucwords(strtolower(trim(strip_tags(@$_POST['']?: ''))));</v>
      </c>
      <c r="N85" s="9" t="str">
        <f t="shared" si="21"/>
        <v xml:space="preserve"> = ?,</v>
      </c>
      <c r="O85" s="9" t="str">
        <f t="shared" si="16"/>
        <v>,</v>
      </c>
      <c r="P85" s="10" t="str">
        <f t="shared" si="22"/>
        <v>$stmt-&gt;bindValue(81, $);</v>
      </c>
    </row>
    <row r="86" spans="1:16" x14ac:dyDescent="0.2">
      <c r="A86" s="9">
        <v>82</v>
      </c>
      <c r="B86" s="18"/>
      <c r="C86" s="18"/>
      <c r="D86" s="18"/>
      <c r="E86" s="18"/>
      <c r="F86" s="9" t="str">
        <f t="shared" si="12"/>
        <v/>
      </c>
      <c r="G86" s="9" t="str">
        <f t="shared" si="13"/>
        <v/>
      </c>
      <c r="H86" s="9" t="str">
        <f t="shared" si="14"/>
        <v/>
      </c>
      <c r="I86" s="9" t="str">
        <f t="shared" si="23"/>
        <v>false</v>
      </c>
      <c r="J86" s="9" t="str">
        <f t="shared" si="17"/>
        <v xml:space="preserve">, </v>
      </c>
      <c r="K86" s="9" t="str">
        <f t="shared" si="18"/>
        <v>$rsPessoa[''] = '';</v>
      </c>
      <c r="L86" s="9" t="str">
        <f t="shared" si="19"/>
        <v>'name' =&gt; '',    'id' =&gt; '',    'maxlength' =&gt; ,    'value' =&gt; $rsPessoa[''],    'required' =&gt; false</v>
      </c>
      <c r="M86" s="13" t="str">
        <f t="shared" si="20"/>
        <v>$    = ucwords(strtolower(trim(strip_tags(@$_POST['']?: ''))));</v>
      </c>
      <c r="N86" s="9" t="str">
        <f t="shared" si="21"/>
        <v xml:space="preserve"> = ?,</v>
      </c>
      <c r="O86" s="9" t="str">
        <f t="shared" si="16"/>
        <v>,</v>
      </c>
      <c r="P86" s="10" t="str">
        <f t="shared" si="22"/>
        <v>$stmt-&gt;bindValue(82, $);</v>
      </c>
    </row>
    <row r="87" spans="1:16" x14ac:dyDescent="0.2">
      <c r="A87" s="9">
        <v>83</v>
      </c>
      <c r="B87" s="18"/>
      <c r="C87" s="18"/>
      <c r="D87" s="18"/>
      <c r="E87" s="18"/>
      <c r="F87" s="9" t="str">
        <f t="shared" si="12"/>
        <v/>
      </c>
      <c r="G87" s="9" t="str">
        <f t="shared" si="13"/>
        <v/>
      </c>
      <c r="H87" s="9" t="str">
        <f t="shared" si="14"/>
        <v/>
      </c>
      <c r="I87" s="9" t="str">
        <f t="shared" si="23"/>
        <v>false</v>
      </c>
      <c r="J87" s="9" t="str">
        <f t="shared" si="17"/>
        <v xml:space="preserve">, </v>
      </c>
      <c r="K87" s="9" t="str">
        <f t="shared" si="18"/>
        <v>$rsPessoa[''] = '';</v>
      </c>
      <c r="L87" s="9" t="str">
        <f t="shared" si="19"/>
        <v>'name' =&gt; '',    'id' =&gt; '',    'maxlength' =&gt; ,    'value' =&gt; $rsPessoa[''],    'required' =&gt; false</v>
      </c>
      <c r="M87" s="13" t="str">
        <f t="shared" si="20"/>
        <v>$    = ucwords(strtolower(trim(strip_tags(@$_POST['']?: ''))));</v>
      </c>
      <c r="N87" s="9" t="str">
        <f t="shared" si="21"/>
        <v xml:space="preserve"> = ?,</v>
      </c>
      <c r="O87" s="9" t="str">
        <f t="shared" si="16"/>
        <v>,</v>
      </c>
      <c r="P87" s="10" t="str">
        <f t="shared" si="22"/>
        <v>$stmt-&gt;bindValue(83, $);</v>
      </c>
    </row>
    <row r="88" spans="1:16" x14ac:dyDescent="0.2">
      <c r="A88" s="9">
        <v>84</v>
      </c>
      <c r="B88" s="18"/>
      <c r="C88" s="18"/>
      <c r="D88" s="18"/>
      <c r="E88" s="18"/>
      <c r="F88" s="9" t="str">
        <f t="shared" si="12"/>
        <v/>
      </c>
      <c r="G88" s="9" t="str">
        <f t="shared" si="13"/>
        <v/>
      </c>
      <c r="H88" s="9" t="str">
        <f t="shared" si="14"/>
        <v/>
      </c>
      <c r="I88" s="9" t="str">
        <f t="shared" si="23"/>
        <v>false</v>
      </c>
      <c r="J88" s="9" t="str">
        <f t="shared" si="17"/>
        <v xml:space="preserve">, </v>
      </c>
      <c r="K88" s="9" t="str">
        <f t="shared" si="18"/>
        <v>$rsPessoa[''] = '';</v>
      </c>
      <c r="L88" s="9" t="str">
        <f t="shared" si="19"/>
        <v>'name' =&gt; '',    'id' =&gt; '',    'maxlength' =&gt; ,    'value' =&gt; $rsPessoa[''],    'required' =&gt; false</v>
      </c>
      <c r="M88" s="13" t="str">
        <f t="shared" si="20"/>
        <v>$    = ucwords(strtolower(trim(strip_tags(@$_POST['']?: ''))));</v>
      </c>
      <c r="N88" s="9" t="str">
        <f t="shared" si="21"/>
        <v xml:space="preserve"> = ?,</v>
      </c>
      <c r="O88" s="9" t="str">
        <f t="shared" si="16"/>
        <v>,</v>
      </c>
      <c r="P88" s="10" t="str">
        <f t="shared" si="22"/>
        <v>$stmt-&gt;bindValue(84, $);</v>
      </c>
    </row>
    <row r="89" spans="1:16" x14ac:dyDescent="0.2">
      <c r="A89" s="9">
        <v>85</v>
      </c>
      <c r="B89" s="18"/>
      <c r="C89" s="18"/>
      <c r="D89" s="18"/>
      <c r="E89" s="18"/>
      <c r="F89" s="9" t="str">
        <f t="shared" si="12"/>
        <v/>
      </c>
      <c r="G89" s="9" t="str">
        <f t="shared" si="13"/>
        <v/>
      </c>
      <c r="H89" s="9" t="str">
        <f t="shared" si="14"/>
        <v/>
      </c>
      <c r="I89" s="9" t="str">
        <f t="shared" si="23"/>
        <v>false</v>
      </c>
      <c r="J89" s="9" t="str">
        <f t="shared" si="17"/>
        <v xml:space="preserve">, </v>
      </c>
      <c r="K89" s="9" t="str">
        <f t="shared" si="18"/>
        <v>$rsPessoa[''] = '';</v>
      </c>
      <c r="L89" s="9" t="str">
        <f t="shared" si="19"/>
        <v>'name' =&gt; '',    'id' =&gt; '',    'maxlength' =&gt; ,    'value' =&gt; $rsPessoa[''],    'required' =&gt; false</v>
      </c>
      <c r="M89" s="13" t="str">
        <f t="shared" si="20"/>
        <v>$    = ucwords(strtolower(trim(strip_tags(@$_POST['']?: ''))));</v>
      </c>
      <c r="N89" s="9" t="str">
        <f t="shared" si="21"/>
        <v xml:space="preserve"> = ?,</v>
      </c>
      <c r="O89" s="9" t="str">
        <f t="shared" si="16"/>
        <v>,</v>
      </c>
      <c r="P89" s="10" t="str">
        <f t="shared" si="22"/>
        <v>$stmt-&gt;bindValue(85, $);</v>
      </c>
    </row>
    <row r="90" spans="1:16" x14ac:dyDescent="0.2">
      <c r="A90" s="9">
        <v>86</v>
      </c>
      <c r="B90" s="18"/>
      <c r="C90" s="18"/>
      <c r="D90" s="18"/>
      <c r="E90" s="18"/>
      <c r="F90" s="9" t="str">
        <f t="shared" si="12"/>
        <v/>
      </c>
      <c r="G90" s="9" t="str">
        <f t="shared" si="13"/>
        <v/>
      </c>
      <c r="H90" s="9" t="str">
        <f t="shared" si="14"/>
        <v/>
      </c>
      <c r="I90" s="9" t="str">
        <f t="shared" si="23"/>
        <v>false</v>
      </c>
      <c r="J90" s="9" t="str">
        <f t="shared" si="17"/>
        <v xml:space="preserve">, </v>
      </c>
      <c r="K90" s="9" t="str">
        <f t="shared" si="18"/>
        <v>$rsPessoa[''] = '';</v>
      </c>
      <c r="L90" s="9" t="str">
        <f t="shared" si="19"/>
        <v>'name' =&gt; '',    'id' =&gt; '',    'maxlength' =&gt; ,    'value' =&gt; $rsPessoa[''],    'required' =&gt; false</v>
      </c>
      <c r="M90" s="13" t="str">
        <f t="shared" si="20"/>
        <v>$    = ucwords(strtolower(trim(strip_tags(@$_POST['']?: ''))));</v>
      </c>
      <c r="N90" s="9" t="str">
        <f t="shared" si="21"/>
        <v xml:space="preserve"> = ?,</v>
      </c>
      <c r="O90" s="9" t="str">
        <f t="shared" si="16"/>
        <v>,</v>
      </c>
      <c r="P90" s="10" t="str">
        <f t="shared" si="22"/>
        <v>$stmt-&gt;bindValue(86, $);</v>
      </c>
    </row>
    <row r="91" spans="1:16" x14ac:dyDescent="0.2">
      <c r="A91" s="9">
        <v>87</v>
      </c>
      <c r="B91" s="18"/>
      <c r="C91" s="18"/>
      <c r="D91" s="18"/>
      <c r="E91" s="18"/>
      <c r="F91" s="9" t="str">
        <f t="shared" si="12"/>
        <v/>
      </c>
      <c r="G91" s="9" t="str">
        <f t="shared" si="13"/>
        <v/>
      </c>
      <c r="H91" s="9" t="str">
        <f t="shared" si="14"/>
        <v/>
      </c>
      <c r="I91" s="9" t="str">
        <f t="shared" si="23"/>
        <v>false</v>
      </c>
      <c r="J91" s="9" t="str">
        <f t="shared" si="17"/>
        <v xml:space="preserve">, </v>
      </c>
      <c r="K91" s="9" t="str">
        <f t="shared" si="18"/>
        <v>$rsPessoa[''] = '';</v>
      </c>
      <c r="L91" s="9" t="str">
        <f t="shared" si="19"/>
        <v>'name' =&gt; '',    'id' =&gt; '',    'maxlength' =&gt; ,    'value' =&gt; $rsPessoa[''],    'required' =&gt; false</v>
      </c>
      <c r="M91" s="13" t="str">
        <f t="shared" si="20"/>
        <v>$    = ucwords(strtolower(trim(strip_tags(@$_POST['']?: ''))));</v>
      </c>
      <c r="N91" s="9" t="str">
        <f t="shared" si="21"/>
        <v xml:space="preserve"> = ?,</v>
      </c>
      <c r="O91" s="9" t="str">
        <f t="shared" si="16"/>
        <v>,</v>
      </c>
      <c r="P91" s="10" t="str">
        <f t="shared" si="22"/>
        <v>$stmt-&gt;bindValue(87, $);</v>
      </c>
    </row>
    <row r="92" spans="1:16" x14ac:dyDescent="0.2">
      <c r="A92" s="9">
        <v>88</v>
      </c>
      <c r="B92" s="18"/>
      <c r="C92" s="18"/>
      <c r="D92" s="18"/>
      <c r="E92" s="18"/>
      <c r="F92" s="9" t="str">
        <f t="shared" si="12"/>
        <v/>
      </c>
      <c r="G92" s="9" t="str">
        <f t="shared" si="13"/>
        <v/>
      </c>
      <c r="H92" s="9" t="str">
        <f t="shared" si="14"/>
        <v/>
      </c>
      <c r="I92" s="9" t="str">
        <f t="shared" si="23"/>
        <v>false</v>
      </c>
      <c r="J92" s="9" t="str">
        <f t="shared" si="17"/>
        <v xml:space="preserve">, </v>
      </c>
      <c r="K92" s="9" t="str">
        <f t="shared" si="18"/>
        <v>$rsPessoa[''] = '';</v>
      </c>
      <c r="L92" s="9" t="str">
        <f t="shared" si="19"/>
        <v>'name' =&gt; '',    'id' =&gt; '',    'maxlength' =&gt; ,    'value' =&gt; $rsPessoa[''],    'required' =&gt; false</v>
      </c>
      <c r="M92" s="13" t="str">
        <f t="shared" si="20"/>
        <v>$    = ucwords(strtolower(trim(strip_tags(@$_POST['']?: ''))));</v>
      </c>
      <c r="N92" s="9" t="str">
        <f t="shared" si="21"/>
        <v xml:space="preserve"> = ?,</v>
      </c>
      <c r="O92" s="9" t="str">
        <f t="shared" si="16"/>
        <v>,</v>
      </c>
      <c r="P92" s="10" t="str">
        <f t="shared" si="22"/>
        <v>$stmt-&gt;bindValue(88, $);</v>
      </c>
    </row>
    <row r="93" spans="1:16" x14ac:dyDescent="0.2">
      <c r="A93" s="9">
        <v>89</v>
      </c>
      <c r="B93" s="18"/>
      <c r="C93" s="18"/>
      <c r="D93" s="18"/>
      <c r="E93" s="18"/>
      <c r="F93" s="9" t="str">
        <f t="shared" si="12"/>
        <v/>
      </c>
      <c r="G93" s="9" t="str">
        <f t="shared" si="13"/>
        <v/>
      </c>
      <c r="H93" s="9" t="str">
        <f t="shared" si="14"/>
        <v/>
      </c>
      <c r="I93" s="9" t="str">
        <f t="shared" si="23"/>
        <v>false</v>
      </c>
      <c r="J93" s="9" t="str">
        <f t="shared" si="17"/>
        <v xml:space="preserve">, </v>
      </c>
      <c r="K93" s="9" t="str">
        <f t="shared" si="18"/>
        <v>$rsPessoa[''] = '';</v>
      </c>
      <c r="L93" s="9" t="str">
        <f t="shared" si="19"/>
        <v>'name' =&gt; '',    'id' =&gt; '',    'maxlength' =&gt; ,    'value' =&gt; $rsPessoa[''],    'required' =&gt; false</v>
      </c>
      <c r="M93" s="13" t="str">
        <f t="shared" si="20"/>
        <v>$    = ucwords(strtolower(trim(strip_tags(@$_POST['']?: ''))));</v>
      </c>
      <c r="N93" s="9" t="str">
        <f t="shared" si="21"/>
        <v xml:space="preserve"> = ?,</v>
      </c>
      <c r="O93" s="9" t="str">
        <f t="shared" si="16"/>
        <v>,</v>
      </c>
      <c r="P93" s="10" t="str">
        <f t="shared" si="22"/>
        <v>$stmt-&gt;bindValue(89, $);</v>
      </c>
    </row>
    <row r="94" spans="1:16" x14ac:dyDescent="0.2">
      <c r="A94" s="9">
        <v>90</v>
      </c>
      <c r="B94" s="18"/>
      <c r="C94" s="18"/>
      <c r="D94" s="18"/>
      <c r="E94" s="18"/>
      <c r="F94" s="9" t="str">
        <f t="shared" si="12"/>
        <v/>
      </c>
      <c r="G94" s="9" t="str">
        <f t="shared" si="13"/>
        <v/>
      </c>
      <c r="H94" s="9" t="str">
        <f t="shared" si="14"/>
        <v/>
      </c>
      <c r="I94" s="9" t="str">
        <f t="shared" si="23"/>
        <v>false</v>
      </c>
      <c r="J94" s="9" t="str">
        <f t="shared" si="17"/>
        <v xml:space="preserve">, </v>
      </c>
      <c r="K94" s="9" t="str">
        <f t="shared" si="18"/>
        <v>$rsPessoa[''] = '';</v>
      </c>
      <c r="L94" s="9" t="str">
        <f t="shared" si="19"/>
        <v>'name' =&gt; '',    'id' =&gt; '',    'maxlength' =&gt; ,    'value' =&gt; $rsPessoa[''],    'required' =&gt; false</v>
      </c>
      <c r="M94" s="13" t="str">
        <f t="shared" si="20"/>
        <v>$    = ucwords(strtolower(trim(strip_tags(@$_POST['']?: ''))));</v>
      </c>
      <c r="N94" s="9" t="str">
        <f t="shared" si="21"/>
        <v xml:space="preserve"> = ?,</v>
      </c>
      <c r="O94" s="9" t="str">
        <f t="shared" si="16"/>
        <v>,</v>
      </c>
      <c r="P94" s="10" t="str">
        <f t="shared" si="22"/>
        <v>$stmt-&gt;bindValue(90, $);</v>
      </c>
    </row>
    <row r="95" spans="1:16" x14ac:dyDescent="0.2">
      <c r="A95" s="9">
        <v>91</v>
      </c>
      <c r="B95" s="18"/>
      <c r="C95" s="18"/>
      <c r="D95" s="18"/>
      <c r="E95" s="18"/>
      <c r="F95" s="9" t="str">
        <f t="shared" si="12"/>
        <v/>
      </c>
      <c r="G95" s="9" t="str">
        <f t="shared" si="13"/>
        <v/>
      </c>
      <c r="H95" s="9" t="str">
        <f t="shared" si="14"/>
        <v/>
      </c>
      <c r="I95" s="9" t="str">
        <f t="shared" si="23"/>
        <v>false</v>
      </c>
      <c r="J95" s="9" t="str">
        <f t="shared" si="17"/>
        <v xml:space="preserve">, </v>
      </c>
      <c r="K95" s="9" t="str">
        <f t="shared" si="18"/>
        <v>$rsPessoa[''] = '';</v>
      </c>
      <c r="L95" s="9" t="str">
        <f t="shared" si="19"/>
        <v>'name' =&gt; '',    'id' =&gt; '',    'maxlength' =&gt; ,    'value' =&gt; $rsPessoa[''],    'required' =&gt; false</v>
      </c>
      <c r="M95" s="13" t="str">
        <f t="shared" si="20"/>
        <v>$    = ucwords(strtolower(trim(strip_tags(@$_POST['']?: ''))));</v>
      </c>
      <c r="N95" s="9" t="str">
        <f t="shared" si="21"/>
        <v xml:space="preserve"> = ?,</v>
      </c>
      <c r="O95" s="9" t="str">
        <f t="shared" si="16"/>
        <v>,</v>
      </c>
      <c r="P95" s="10" t="str">
        <f t="shared" si="22"/>
        <v>$stmt-&gt;bindValue(91, $);</v>
      </c>
    </row>
    <row r="96" spans="1:16" x14ac:dyDescent="0.2">
      <c r="A96" s="9">
        <v>92</v>
      </c>
      <c r="B96" s="18"/>
      <c r="C96" s="18"/>
      <c r="D96" s="18"/>
      <c r="E96" s="18"/>
      <c r="F96" s="9" t="str">
        <f t="shared" si="12"/>
        <v/>
      </c>
      <c r="G96" s="9" t="str">
        <f t="shared" si="13"/>
        <v/>
      </c>
      <c r="H96" s="9" t="str">
        <f t="shared" si="14"/>
        <v/>
      </c>
      <c r="I96" s="9" t="str">
        <f t="shared" si="23"/>
        <v>false</v>
      </c>
      <c r="J96" s="9" t="str">
        <f t="shared" si="17"/>
        <v xml:space="preserve">, </v>
      </c>
      <c r="K96" s="9" t="str">
        <f t="shared" si="18"/>
        <v>$rsPessoa[''] = '';</v>
      </c>
      <c r="L96" s="9" t="str">
        <f t="shared" si="19"/>
        <v>'name' =&gt; '',    'id' =&gt; '',    'maxlength' =&gt; ,    'value' =&gt; $rsPessoa[''],    'required' =&gt; false</v>
      </c>
      <c r="M96" s="13" t="str">
        <f t="shared" si="20"/>
        <v>$    = ucwords(strtolower(trim(strip_tags(@$_POST['']?: ''))));</v>
      </c>
      <c r="N96" s="9" t="str">
        <f t="shared" si="21"/>
        <v xml:space="preserve"> = ?,</v>
      </c>
      <c r="O96" s="9" t="str">
        <f t="shared" si="16"/>
        <v>,</v>
      </c>
      <c r="P96" s="10" t="str">
        <f t="shared" si="22"/>
        <v>$stmt-&gt;bindValue(92, $);</v>
      </c>
    </row>
    <row r="97" spans="1:16" x14ac:dyDescent="0.2">
      <c r="A97" s="9">
        <v>93</v>
      </c>
      <c r="B97" s="18"/>
      <c r="C97" s="18"/>
      <c r="D97" s="18"/>
      <c r="E97" s="18"/>
      <c r="F97" s="9" t="str">
        <f t="shared" si="12"/>
        <v/>
      </c>
      <c r="G97" s="9" t="str">
        <f t="shared" si="13"/>
        <v/>
      </c>
      <c r="H97" s="9" t="str">
        <f t="shared" si="14"/>
        <v/>
      </c>
      <c r="I97" s="9" t="str">
        <f t="shared" si="23"/>
        <v>false</v>
      </c>
      <c r="J97" s="9" t="str">
        <f t="shared" si="17"/>
        <v xml:space="preserve">, </v>
      </c>
      <c r="K97" s="9" t="str">
        <f t="shared" si="18"/>
        <v>$rsPessoa[''] = '';</v>
      </c>
      <c r="L97" s="9" t="str">
        <f t="shared" si="19"/>
        <v>'name' =&gt; '',    'id' =&gt; '',    'maxlength' =&gt; ,    'value' =&gt; $rsPessoa[''],    'required' =&gt; false</v>
      </c>
      <c r="M97" s="13" t="str">
        <f t="shared" si="20"/>
        <v>$    = ucwords(strtolower(trim(strip_tags(@$_POST['']?: ''))));</v>
      </c>
      <c r="N97" s="9" t="str">
        <f t="shared" si="21"/>
        <v xml:space="preserve"> = ?,</v>
      </c>
      <c r="O97" s="9" t="str">
        <f t="shared" si="16"/>
        <v>,</v>
      </c>
      <c r="P97" s="10" t="str">
        <f t="shared" si="22"/>
        <v>$stmt-&gt;bindValue(93, $);</v>
      </c>
    </row>
    <row r="98" spans="1:16" x14ac:dyDescent="0.2">
      <c r="A98" s="9">
        <v>94</v>
      </c>
      <c r="B98" s="18"/>
      <c r="C98" s="18"/>
      <c r="D98" s="18"/>
      <c r="E98" s="18"/>
      <c r="F98" s="9" t="str">
        <f t="shared" ref="F98:F104" si="24">IFERROR(MID(C98,(FIND("`",C98)+1),(FIND("` ",C98)-(FIND("`",C98)+1))),"")</f>
        <v/>
      </c>
      <c r="G98" s="9" t="str">
        <f t="shared" ref="G98:G104" si="25">IFERROR(MID(C98,(FIND("` ",C98)+2),(IFERROR(FIND("NOT",C98),FIND("DEFAULT",C98))-(FIND("` ",C98)+3))),"")</f>
        <v/>
      </c>
      <c r="H98" s="9" t="str">
        <f t="shared" ref="H98:H104" si="26">IFERROR(MID(C98,(FIND("(",C98)+1),(FIND(")",C98)-(FIND("(",C98)+1))),"")</f>
        <v/>
      </c>
      <c r="I98" s="9" t="str">
        <f t="shared" si="23"/>
        <v>false</v>
      </c>
      <c r="J98" s="9" t="str">
        <f t="shared" si="17"/>
        <v xml:space="preserve">, </v>
      </c>
      <c r="K98" s="9" t="str">
        <f t="shared" si="18"/>
        <v>$rsPessoa[''] = '';</v>
      </c>
      <c r="L98" s="9" t="str">
        <f t="shared" si="19"/>
        <v>'name' =&gt; '',    'id' =&gt; '',    'maxlength' =&gt; ,    'value' =&gt; $rsPessoa[''],    'required' =&gt; false</v>
      </c>
      <c r="M98" s="13" t="str">
        <f t="shared" si="20"/>
        <v>$    = ucwords(strtolower(trim(strip_tags(@$_POST['']?: ''))));</v>
      </c>
      <c r="N98" s="9" t="str">
        <f t="shared" si="21"/>
        <v xml:space="preserve"> = ?,</v>
      </c>
      <c r="O98" s="9" t="str">
        <f t="shared" si="16"/>
        <v>,</v>
      </c>
      <c r="P98" s="10" t="str">
        <f t="shared" si="22"/>
        <v>$stmt-&gt;bindValue(94, $);</v>
      </c>
    </row>
    <row r="99" spans="1:16" x14ac:dyDescent="0.2">
      <c r="A99" s="9">
        <v>95</v>
      </c>
      <c r="B99" s="18"/>
      <c r="C99" s="18"/>
      <c r="D99" s="18"/>
      <c r="E99" s="18"/>
      <c r="F99" s="9" t="str">
        <f t="shared" si="24"/>
        <v/>
      </c>
      <c r="G99" s="9" t="str">
        <f t="shared" si="25"/>
        <v/>
      </c>
      <c r="H99" s="9" t="str">
        <f t="shared" si="26"/>
        <v/>
      </c>
      <c r="I99" s="9" t="str">
        <f t="shared" si="23"/>
        <v>false</v>
      </c>
      <c r="J99" s="9" t="str">
        <f t="shared" si="17"/>
        <v xml:space="preserve">, </v>
      </c>
      <c r="K99" s="9" t="str">
        <f t="shared" si="18"/>
        <v>$rsPessoa[''] = '';</v>
      </c>
      <c r="L99" s="9" t="str">
        <f t="shared" si="19"/>
        <v>'name' =&gt; '',    'id' =&gt; '',    'maxlength' =&gt; ,    'value' =&gt; $rsPessoa[''],    'required' =&gt; false</v>
      </c>
      <c r="M99" s="13" t="str">
        <f t="shared" si="20"/>
        <v>$    = ucwords(strtolower(trim(strip_tags(@$_POST['']?: ''))));</v>
      </c>
      <c r="N99" s="9" t="str">
        <f t="shared" si="21"/>
        <v xml:space="preserve"> = ?,</v>
      </c>
      <c r="O99" s="9" t="str">
        <f t="shared" si="16"/>
        <v>,</v>
      </c>
      <c r="P99" s="10" t="str">
        <f t="shared" si="22"/>
        <v>$stmt-&gt;bindValue(95, $);</v>
      </c>
    </row>
    <row r="100" spans="1:16" x14ac:dyDescent="0.2">
      <c r="A100" s="9">
        <v>96</v>
      </c>
      <c r="B100" s="18"/>
      <c r="C100" s="18"/>
      <c r="D100" s="18"/>
      <c r="E100" s="18"/>
      <c r="F100" s="9" t="str">
        <f t="shared" si="24"/>
        <v/>
      </c>
      <c r="G100" s="9" t="str">
        <f t="shared" si="25"/>
        <v/>
      </c>
      <c r="H100" s="9" t="str">
        <f t="shared" si="26"/>
        <v/>
      </c>
      <c r="I100" s="9" t="str">
        <f t="shared" si="23"/>
        <v>false</v>
      </c>
      <c r="J100" s="9" t="str">
        <f t="shared" si="17"/>
        <v xml:space="preserve">, </v>
      </c>
      <c r="K100" s="9" t="str">
        <f t="shared" si="18"/>
        <v>$rsPessoa[''] = '';</v>
      </c>
      <c r="L100" s="9" t="str">
        <f t="shared" si="19"/>
        <v>'name' =&gt; '',    'id' =&gt; '',    'maxlength' =&gt; ,    'value' =&gt; $rsPessoa[''],    'required' =&gt; false</v>
      </c>
      <c r="M100" s="13" t="str">
        <f t="shared" si="20"/>
        <v>$    = ucwords(strtolower(trim(strip_tags(@$_POST['']?: ''))));</v>
      </c>
      <c r="N100" s="9" t="str">
        <f t="shared" si="21"/>
        <v xml:space="preserve"> = ?,</v>
      </c>
      <c r="O100" s="9" t="str">
        <f t="shared" si="16"/>
        <v>,</v>
      </c>
      <c r="P100" s="10" t="str">
        <f t="shared" si="22"/>
        <v>$stmt-&gt;bindValue(96, $);</v>
      </c>
    </row>
    <row r="101" spans="1:16" x14ac:dyDescent="0.2">
      <c r="A101" s="9">
        <v>97</v>
      </c>
      <c r="B101" s="18"/>
      <c r="C101" s="18"/>
      <c r="D101" s="18"/>
      <c r="E101" s="18"/>
      <c r="F101" s="9" t="str">
        <f t="shared" si="24"/>
        <v/>
      </c>
      <c r="G101" s="9" t="str">
        <f t="shared" si="25"/>
        <v/>
      </c>
      <c r="H101" s="9" t="str">
        <f t="shared" si="26"/>
        <v/>
      </c>
      <c r="I101" s="9" t="str">
        <f t="shared" si="23"/>
        <v>false</v>
      </c>
      <c r="J101" s="9" t="str">
        <f t="shared" si="17"/>
        <v xml:space="preserve">, </v>
      </c>
      <c r="K101" s="9" t="str">
        <f t="shared" si="18"/>
        <v>$rsPessoa[''] = '';</v>
      </c>
      <c r="L101" s="9" t="str">
        <f t="shared" si="19"/>
        <v>'name' =&gt; '',    'id' =&gt; '',    'maxlength' =&gt; ,    'value' =&gt; $rsPessoa[''],    'required' =&gt; false</v>
      </c>
      <c r="M101" s="13" t="str">
        <f t="shared" si="20"/>
        <v>$    = ucwords(strtolower(trim(strip_tags(@$_POST['']?: ''))));</v>
      </c>
      <c r="N101" s="9" t="str">
        <f t="shared" si="21"/>
        <v xml:space="preserve"> = ?,</v>
      </c>
      <c r="O101" s="9" t="str">
        <f t="shared" si="16"/>
        <v>,</v>
      </c>
      <c r="P101" s="10" t="str">
        <f t="shared" si="22"/>
        <v>$stmt-&gt;bindValue(97, $);</v>
      </c>
    </row>
    <row r="102" spans="1:16" x14ac:dyDescent="0.2">
      <c r="A102" s="9">
        <v>98</v>
      </c>
      <c r="B102" s="18"/>
      <c r="C102" s="18"/>
      <c r="D102" s="18"/>
      <c r="E102" s="18"/>
      <c r="F102" s="9" t="str">
        <f t="shared" si="24"/>
        <v/>
      </c>
      <c r="G102" s="9" t="str">
        <f t="shared" si="25"/>
        <v/>
      </c>
      <c r="H102" s="9" t="str">
        <f t="shared" si="26"/>
        <v/>
      </c>
      <c r="I102" s="9" t="str">
        <f t="shared" si="23"/>
        <v>false</v>
      </c>
      <c r="J102" s="9" t="str">
        <f t="shared" si="17"/>
        <v xml:space="preserve">, </v>
      </c>
      <c r="K102" s="9" t="str">
        <f t="shared" si="18"/>
        <v>$rsPessoa[''] = '';</v>
      </c>
      <c r="L102" s="9" t="str">
        <f t="shared" si="19"/>
        <v>'name' =&gt; '',    'id' =&gt; '',    'maxlength' =&gt; ,    'value' =&gt; $rsPessoa[''],    'required' =&gt; false</v>
      </c>
      <c r="M102" s="13" t="str">
        <f t="shared" si="20"/>
        <v>$    = ucwords(strtolower(trim(strip_tags(@$_POST['']?: ''))));</v>
      </c>
      <c r="N102" s="9" t="str">
        <f t="shared" si="21"/>
        <v xml:space="preserve"> = ?,</v>
      </c>
      <c r="O102" s="9" t="str">
        <f t="shared" si="16"/>
        <v>,</v>
      </c>
      <c r="P102" s="10" t="str">
        <f t="shared" si="22"/>
        <v>$stmt-&gt;bindValue(98, $);</v>
      </c>
    </row>
    <row r="103" spans="1:16" x14ac:dyDescent="0.2">
      <c r="A103" s="9">
        <v>99</v>
      </c>
      <c r="B103" s="18"/>
      <c r="C103" s="18"/>
      <c r="D103" s="18"/>
      <c r="E103" s="18"/>
      <c r="F103" s="9" t="str">
        <f t="shared" si="24"/>
        <v/>
      </c>
      <c r="G103" s="9" t="str">
        <f t="shared" si="25"/>
        <v/>
      </c>
      <c r="H103" s="9" t="str">
        <f t="shared" si="26"/>
        <v/>
      </c>
      <c r="I103" s="9" t="str">
        <f t="shared" si="23"/>
        <v>false</v>
      </c>
      <c r="J103" s="9" t="str">
        <f t="shared" si="17"/>
        <v xml:space="preserve">, </v>
      </c>
      <c r="K103" s="9" t="str">
        <f t="shared" si="18"/>
        <v>$rsPessoa[''] = '';</v>
      </c>
      <c r="L103" s="9" t="str">
        <f t="shared" si="19"/>
        <v>'name' =&gt; '',    'id' =&gt; '',    'maxlength' =&gt; ,    'value' =&gt; $rsPessoa[''],    'required' =&gt; false</v>
      </c>
      <c r="M103" s="13" t="str">
        <f t="shared" si="20"/>
        <v>$    = ucwords(strtolower(trim(strip_tags(@$_POST['']?: ''))));</v>
      </c>
      <c r="N103" s="9" t="str">
        <f t="shared" si="21"/>
        <v xml:space="preserve"> = ?,</v>
      </c>
      <c r="O103" s="9" t="str">
        <f t="shared" si="16"/>
        <v>,</v>
      </c>
      <c r="P103" s="10" t="str">
        <f t="shared" si="22"/>
        <v>$stmt-&gt;bindValue(99, $);</v>
      </c>
    </row>
    <row r="104" spans="1:16" ht="17" thickBot="1" x14ac:dyDescent="0.25">
      <c r="A104" s="11">
        <v>100</v>
      </c>
      <c r="B104" s="16"/>
      <c r="C104" s="16"/>
      <c r="D104" s="16"/>
      <c r="E104" s="16"/>
      <c r="F104" s="11" t="str">
        <f t="shared" si="24"/>
        <v/>
      </c>
      <c r="G104" s="11" t="str">
        <f t="shared" si="25"/>
        <v/>
      </c>
      <c r="H104" s="11" t="str">
        <f t="shared" si="26"/>
        <v/>
      </c>
      <c r="I104" s="11" t="str">
        <f t="shared" si="23"/>
        <v>false</v>
      </c>
      <c r="J104" s="11" t="str">
        <f t="shared" si="17"/>
        <v xml:space="preserve">, </v>
      </c>
      <c r="K104" s="11" t="str">
        <f t="shared" si="18"/>
        <v>$rsPessoa[''] = '';</v>
      </c>
      <c r="L104" s="11" t="str">
        <f t="shared" si="19"/>
        <v>'name' =&gt; '',    'id' =&gt; '',    'maxlength' =&gt; ,    'value' =&gt; $rsPessoa[''],    'required' =&gt; false</v>
      </c>
      <c r="M104" s="13" t="str">
        <f t="shared" si="20"/>
        <v>$    = ucwords(strtolower(trim(strip_tags(@$_POST['']?: ''))));</v>
      </c>
      <c r="N104" s="11" t="str">
        <f t="shared" si="21"/>
        <v xml:space="preserve"> = ?,</v>
      </c>
      <c r="O104" s="11" t="str">
        <f t="shared" si="16"/>
        <v>,</v>
      </c>
      <c r="P104" s="12" t="str">
        <f t="shared" si="22"/>
        <v>$stmt-&gt;bindValue(100, $);</v>
      </c>
    </row>
    <row r="105" spans="1:16" ht="17" thickTop="1" x14ac:dyDescent="0.2"/>
  </sheetData>
  <sheetProtection algorithmName="SHA-512" hashValue="TvdvWeUqvUS3SC99IY2ggP0n1wsxdvXEsOGFeY71bXPG/lXcR1V2zdO53HQL/3SN7AGhRKGwr+Z2s/ZtTgrX0A==" saltValue="QZAf8LsKu5J1S/VJ8K8OrA==" spinCount="100000" sheet="1" objects="1" scenarios="1"/>
  <mergeCells count="16">
    <mergeCell ref="B3:B4"/>
    <mergeCell ref="A3:A4"/>
    <mergeCell ref="P3:P4"/>
    <mergeCell ref="A1:E1"/>
    <mergeCell ref="H3:H4"/>
    <mergeCell ref="G3:G4"/>
    <mergeCell ref="F3:F4"/>
    <mergeCell ref="E3:E4"/>
    <mergeCell ref="D3:D4"/>
    <mergeCell ref="C3:C4"/>
    <mergeCell ref="O3:O4"/>
    <mergeCell ref="N3:N4"/>
    <mergeCell ref="M3:M4"/>
    <mergeCell ref="L3:L4"/>
    <mergeCell ref="J3:J4"/>
    <mergeCell ref="I3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UseCases</vt:lpstr>
      <vt:lpstr>UseCaseUE</vt:lpstr>
      <vt:lpstr>GeradorPHP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2025-08-20T16:04:51Z</cp:lastPrinted>
  <dcterms:created xsi:type="dcterms:W3CDTF">2025-07-01T19:08:46Z</dcterms:created>
  <dcterms:modified xsi:type="dcterms:W3CDTF">2025-08-22T18:10:48Z</dcterms:modified>
</cp:coreProperties>
</file>